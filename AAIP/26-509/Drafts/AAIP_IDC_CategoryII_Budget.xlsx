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ger\Downloads\Grants\AAIP\26-509\Drafts\"/>
    </mc:Choice>
  </mc:AlternateContent>
  <xr:revisionPtr revIDLastSave="0" documentId="8_{F303D24E-4EEA-49D4-B553-235353CB63E6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ummary" sheetId="1" r:id="rId1"/>
    <sheet name="AAIP Budget" sheetId="2" r:id="rId2"/>
    <sheet name="Assumptions" sheetId="3" r:id="rId3"/>
    <sheet name="Cost Estimate 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C9" i="4"/>
  <c r="F9" i="4" s="1"/>
  <c r="E8" i="4"/>
  <c r="D8" i="4"/>
  <c r="C8" i="4"/>
  <c r="F8" i="4" s="1"/>
  <c r="E7" i="4"/>
  <c r="D7" i="4"/>
  <c r="C7" i="4"/>
  <c r="F7" i="4" s="1"/>
  <c r="C6" i="4"/>
  <c r="C5" i="4"/>
  <c r="C4" i="4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H14" i="2"/>
  <c r="I14" i="2" s="1"/>
  <c r="G14" i="2"/>
  <c r="J14" i="2" s="1"/>
  <c r="G13" i="2"/>
  <c r="H13" i="2" s="1"/>
  <c r="G12" i="2"/>
  <c r="H12" i="2" s="1"/>
  <c r="I12" i="2" s="1"/>
  <c r="G11" i="2"/>
  <c r="H11" i="2" s="1"/>
  <c r="G10" i="2"/>
  <c r="H10" i="2" s="1"/>
  <c r="I10" i="2" s="1"/>
  <c r="G9" i="2"/>
  <c r="H9" i="2" s="1"/>
  <c r="H8" i="2"/>
  <c r="I8" i="2" s="1"/>
  <c r="J8" i="2" s="1"/>
  <c r="G8" i="2"/>
  <c r="G7" i="2"/>
  <c r="G6" i="2"/>
  <c r="G15" i="2" s="1"/>
  <c r="E27" i="1"/>
  <c r="E22" i="1"/>
  <c r="D14" i="1"/>
  <c r="C14" i="1"/>
  <c r="B14" i="1"/>
  <c r="E14" i="1" s="1"/>
  <c r="D13" i="1"/>
  <c r="C13" i="1"/>
  <c r="B13" i="1"/>
  <c r="E13" i="1" s="1"/>
  <c r="D12" i="1"/>
  <c r="C12" i="1"/>
  <c r="B12" i="1"/>
  <c r="E12" i="1" s="1"/>
  <c r="D11" i="1"/>
  <c r="C11" i="1"/>
  <c r="B11" i="1"/>
  <c r="E11" i="1" s="1"/>
  <c r="D10" i="1"/>
  <c r="C10" i="1"/>
  <c r="B10" i="1"/>
  <c r="E10" i="1" s="1"/>
  <c r="D9" i="1"/>
  <c r="C9" i="1"/>
  <c r="B9" i="1"/>
  <c r="E9" i="1" s="1"/>
  <c r="D8" i="1"/>
  <c r="C8" i="1"/>
  <c r="B8" i="1"/>
  <c r="E8" i="1" s="1"/>
  <c r="E7" i="1"/>
  <c r="D7" i="1"/>
  <c r="C7" i="1"/>
  <c r="B7" i="1"/>
  <c r="I9" i="2" l="1"/>
  <c r="J9" i="2" s="1"/>
  <c r="D5" i="4"/>
  <c r="I11" i="2"/>
  <c r="E5" i="4" s="1"/>
  <c r="D6" i="4"/>
  <c r="I13" i="2"/>
  <c r="E6" i="4" s="1"/>
  <c r="F5" i="4"/>
  <c r="F6" i="4"/>
  <c r="G16" i="2"/>
  <c r="B5" i="1"/>
  <c r="G36" i="2"/>
  <c r="J10" i="2"/>
  <c r="J11" i="2"/>
  <c r="J12" i="2"/>
  <c r="H6" i="2"/>
  <c r="J13" i="2"/>
  <c r="H7" i="2"/>
  <c r="I7" i="2" s="1"/>
  <c r="I6" i="2" l="1"/>
  <c r="H15" i="2"/>
  <c r="D4" i="4"/>
  <c r="J7" i="2"/>
  <c r="G37" i="2"/>
  <c r="B6" i="1"/>
  <c r="G38" i="2" l="1"/>
  <c r="H16" i="2"/>
  <c r="C5" i="1"/>
  <c r="H36" i="2"/>
  <c r="E4" i="4"/>
  <c r="F4" i="4" s="1"/>
  <c r="I15" i="2"/>
  <c r="J6" i="2"/>
  <c r="J15" i="2" s="1"/>
  <c r="I16" i="2" l="1"/>
  <c r="D6" i="1" s="1"/>
  <c r="D5" i="1"/>
  <c r="H37" i="2"/>
  <c r="C6" i="1"/>
  <c r="E6" i="1" s="1"/>
  <c r="J16" i="2"/>
  <c r="J36" i="2" s="1"/>
  <c r="B15" i="1"/>
  <c r="C10" i="4"/>
  <c r="G39" i="2"/>
  <c r="E5" i="1"/>
  <c r="C12" i="4" l="1"/>
  <c r="B21" i="1"/>
  <c r="B23" i="1" s="1"/>
  <c r="B16" i="1"/>
  <c r="H38" i="2"/>
  <c r="I36" i="2"/>
  <c r="I37" i="2" l="1"/>
  <c r="C15" i="1"/>
  <c r="D10" i="4"/>
  <c r="H39" i="2"/>
  <c r="C21" i="1" l="1"/>
  <c r="C23" i="1" s="1"/>
  <c r="C16" i="1"/>
  <c r="D12" i="4"/>
  <c r="I38" i="2"/>
  <c r="J37" i="2"/>
  <c r="D15" i="1" l="1"/>
  <c r="E15" i="1" s="1"/>
  <c r="E10" i="4"/>
  <c r="I39" i="2"/>
  <c r="J38" i="2"/>
  <c r="D21" i="1" l="1"/>
  <c r="D23" i="1" s="1"/>
  <c r="D16" i="1"/>
  <c r="E16" i="1" s="1"/>
  <c r="J39" i="2"/>
  <c r="E21" i="1" s="1"/>
  <c r="E12" i="4"/>
  <c r="F10" i="4"/>
  <c r="F12" i="4" s="1"/>
  <c r="E23" i="1" l="1"/>
  <c r="E26" i="1" l="1"/>
  <c r="E28" i="1"/>
  <c r="E25" i="1"/>
</calcChain>
</file>

<file path=xl/sharedStrings.xml><?xml version="1.0" encoding="utf-8"?>
<sst xmlns="http://schemas.openxmlformats.org/spreadsheetml/2006/main" count="288" uniqueCount="147">
  <si>
    <t>AAIP Lead Organization Budget Summary</t>
  </si>
  <si>
    <t>NSF 26-509 Category II: Indigenous Data Commons</t>
  </si>
  <si>
    <t>Budget Component</t>
  </si>
  <si>
    <t>Year 1</t>
  </si>
  <si>
    <t>Year 2</t>
  </si>
  <si>
    <t>Year 3</t>
  </si>
  <si>
    <t>Total</t>
  </si>
  <si>
    <t>Salaries &amp; Wages</t>
  </si>
  <si>
    <t>Fringe Benefits</t>
  </si>
  <si>
    <t>Travel</t>
  </si>
  <si>
    <t>Participant Support</t>
  </si>
  <si>
    <t>Equipment</t>
  </si>
  <si>
    <t>Materials &amp; Supplies</t>
  </si>
  <si>
    <t>Publication/Documentation/Dissemination</t>
  </si>
  <si>
    <t>Consultant Services</t>
  </si>
  <si>
    <t>Computer Services</t>
  </si>
  <si>
    <t>Other Direct Costs</t>
  </si>
  <si>
    <t>Indirect Costs</t>
  </si>
  <si>
    <t>AAIP Total</t>
  </si>
  <si>
    <t>Project Rollup</t>
  </si>
  <si>
    <t>AAIP Lead Organization Budget</t>
  </si>
  <si>
    <t>SGDI Subaward Placeholder</t>
  </si>
  <si>
    <t>Total Project Budget</t>
  </si>
  <si>
    <t>AAIP Share of Total</t>
  </si>
  <si>
    <t>SGDI Share of Total</t>
  </si>
  <si>
    <t>NSF Category II Cap</t>
  </si>
  <si>
    <t>Amount Below Cap</t>
  </si>
  <si>
    <t>AAIP Lead Organization Budget Planning Worksheet</t>
  </si>
  <si>
    <t>Planning Target: AAIP as lead organization/national operator; SGDI technical subaward prepared separately.</t>
  </si>
  <si>
    <t>NSF Line</t>
  </si>
  <si>
    <t>Budget Category</t>
  </si>
  <si>
    <t>Budget Holder</t>
  </si>
  <si>
    <t>Item / Role</t>
  </si>
  <si>
    <t>FTE / Qty</t>
  </si>
  <si>
    <t>Rate / Assumption</t>
  </si>
  <si>
    <t>A</t>
  </si>
  <si>
    <t>Senior Personnel</t>
  </si>
  <si>
    <t>AAIP</t>
  </si>
  <si>
    <t>Principal Investigator / Project Lead</t>
  </si>
  <si>
    <t>Executive Director Oversight</t>
  </si>
  <si>
    <t>B</t>
  </si>
  <si>
    <t>Other Personnel</t>
  </si>
  <si>
    <t>Project Director / Operations Manager</t>
  </si>
  <si>
    <t>Grants &amp; Compliance Manager</t>
  </si>
  <si>
    <t>Finance &amp; Subaward Monitoring Specialist</t>
  </si>
  <si>
    <t>Indigenous Data Governance Coordinator</t>
  </si>
  <si>
    <t>Community Engagement &amp; Onboarding Coordinator</t>
  </si>
  <si>
    <t>Training &amp; Communications Coordinator</t>
  </si>
  <si>
    <t>Project Administrative Assistant</t>
  </si>
  <si>
    <t>Subtotal</t>
  </si>
  <si>
    <t>Total Salaries &amp; Wages</t>
  </si>
  <si>
    <t>C</t>
  </si>
  <si>
    <t>Assumptions!B2</t>
  </si>
  <si>
    <t>E</t>
  </si>
  <si>
    <t>NSF PI meeting / major cyberinfrastructure conference</t>
  </si>
  <si>
    <t>Domestic travel</t>
  </si>
  <si>
    <t>Partner onboarding and implementation travel</t>
  </si>
  <si>
    <t>National partner engagement</t>
  </si>
  <si>
    <t>Governance, advisory, and training convenings</t>
  </si>
  <si>
    <t>F</t>
  </si>
  <si>
    <t>Eligible participant support for training/onboarding activities</t>
  </si>
  <si>
    <t>Stipends/travel/per diem as allowable</t>
  </si>
  <si>
    <t>D</t>
  </si>
  <si>
    <t>Limited secure operations/testing/training equipment</t>
  </si>
  <si>
    <t>Cloud-first; limited equipment only</t>
  </si>
  <si>
    <t>G.1</t>
  </si>
  <si>
    <t>Project-specific training, onboarding, and implementation supplies</t>
  </si>
  <si>
    <t>Supplies below equipment threshold</t>
  </si>
  <si>
    <t>G.2</t>
  </si>
  <si>
    <t>Documentation, accessibility, dissemination, public reports</t>
  </si>
  <si>
    <t>Project documentation and dissemination</t>
  </si>
  <si>
    <t>G.3</t>
  </si>
  <si>
    <t>Indigenous data sovereignty and governance advisors</t>
  </si>
  <si>
    <t>Specialized advisor support</t>
  </si>
  <si>
    <t>Cybersecurity, privacy, and AI governance consultants</t>
  </si>
  <si>
    <t>Targeted technical review</t>
  </si>
  <si>
    <t>Legal/data use agreement and compliance consultants</t>
  </si>
  <si>
    <t>Targeted legal/compliance review</t>
  </si>
  <si>
    <t>G.4</t>
  </si>
  <si>
    <t>Cloud hosting, compute, and operational storage</t>
  </si>
  <si>
    <t>Managed cloud services</t>
  </si>
  <si>
    <t>Identity, access, security monitoring, and logging</t>
  </si>
  <si>
    <t>Security/monitoring services</t>
  </si>
  <si>
    <t>Backup, disaster recovery, and data transfer services</t>
  </si>
  <si>
    <t>Operational continuity services</t>
  </si>
  <si>
    <t>Documentation, ticketing, and user support platforms</t>
  </si>
  <si>
    <t>Operations support platforms</t>
  </si>
  <si>
    <t>AI/MCP service runtime and API service operations</t>
  </si>
  <si>
    <t>Governed AI/API services</t>
  </si>
  <si>
    <t>G.6</t>
  </si>
  <si>
    <t>Meeting platforms, repository, domain, and collaboration services</t>
  </si>
  <si>
    <t>Operational services</t>
  </si>
  <si>
    <t>Accessibility, transcription, and document remediation</t>
  </si>
  <si>
    <t>Accessible project materials</t>
  </si>
  <si>
    <t>Procurement, vendor management, and project administration costs</t>
  </si>
  <si>
    <t>Direct project administration</t>
  </si>
  <si>
    <t>Total Direct Costs</t>
  </si>
  <si>
    <t>Indirect Base</t>
  </si>
  <si>
    <t>Provisional F&amp;A Base (Direct Costs less Equipment and Participant Support)</t>
  </si>
  <si>
    <t>I</t>
  </si>
  <si>
    <t>F&amp;A / Indirect Costs</t>
  </si>
  <si>
    <t>Assumptions!B3</t>
  </si>
  <si>
    <t>AAIP Budget Total</t>
  </si>
  <si>
    <t>Note</t>
  </si>
  <si>
    <t>This AAIP budget excludes the detailed SGDI subaward budget, which will be prepared separately. The project rollup includes an SGDI placeholder for planning.</t>
  </si>
  <si>
    <t>Final amounts should be revised after confirming AAIP's official federally negotiated indirect cost rate agreement, fringe methodology, NSF budget categories, and subaward treatment.</t>
  </si>
  <si>
    <t>Assumption</t>
  </si>
  <si>
    <t>Value</t>
  </si>
  <si>
    <t>Notes</t>
  </si>
  <si>
    <t>Fringe Rate</t>
  </si>
  <si>
    <t>Planning placeholder; replace with AAIP actual fringe methodology if different.</t>
  </si>
  <si>
    <t>F&amp;A / Indirect Cost Rate</t>
  </si>
  <si>
    <t>Planning placeholder based on AAIP estimated federally negotiated rate; confirm rate agreement and base.</t>
  </si>
  <si>
    <t>Salary Escalation</t>
  </si>
  <si>
    <t>Annual escalation applied to personnel lines.</t>
  </si>
  <si>
    <t>Separate SGDI subaward budget to be prepared later.</t>
  </si>
  <si>
    <t>NSF 26-509 Category II Cap</t>
  </si>
  <si>
    <t>Maximum total project request for Category II.</t>
  </si>
  <si>
    <t>F&amp;A Exclusion: Equipment</t>
  </si>
  <si>
    <t>Excluded</t>
  </si>
  <si>
    <t>Excluded from provisional MTDC base in this planning workbook.</t>
  </si>
  <si>
    <t>F&amp;A Exclusion: Participant Support</t>
  </si>
  <si>
    <t>AAIP Cost Estimate View by Project Work Area</t>
  </si>
  <si>
    <t>Work Area</t>
  </si>
  <si>
    <t>Phase / Purpose</t>
  </si>
  <si>
    <t>Basis of Estimate</t>
  </si>
  <si>
    <t>Lead Recipient Project Management &amp; Compliance</t>
  </si>
  <si>
    <t>Award management, finance, procurement, subaward monitoring, reporting</t>
  </si>
  <si>
    <t>AAIP project leadership, operations, compliance, admin, and finance personnel; related other direct costs.</t>
  </si>
  <si>
    <t>Indigenous Data Governance &amp; Community Engagement</t>
  </si>
  <si>
    <t>Governance workflows, data stewardship, partner engagement, advisory coordination</t>
  </si>
  <si>
    <t>Governance coordinator, community onboarding coordinator, governance travel, and governance advisor support.</t>
  </si>
  <si>
    <t>Training, Onboarding &amp; User Engagement</t>
  </si>
  <si>
    <t>Training logistics, communications, participant support, onboarding convenings</t>
  </si>
  <si>
    <t>Training/communications personnel, participant support, training travel, and documentation resources.</t>
  </si>
  <si>
    <t>Infrastructure &amp; Cybersecurity Services</t>
  </si>
  <si>
    <t>Cloud-first national operations, identity/access, monitoring, backup, AI/API runtime</t>
  </si>
  <si>
    <t>AAIP-held production cloud, security, logging, backup, platform, and limited equipment costs.</t>
  </si>
  <si>
    <t>Consultants, Legal, Privacy &amp; AI Governance</t>
  </si>
  <si>
    <t>Specialized external expertise</t>
  </si>
  <si>
    <t>Consultants for Indigenous data sovereignty, cybersecurity, privacy, AI governance, and data use agreements.</t>
  </si>
  <si>
    <t>Documentation &amp; Dissemination</t>
  </si>
  <si>
    <t>Open documentation, public reports, templates, dissemination</t>
  </si>
  <si>
    <t>Publication/documentation/dissemination line and accessibility services.</t>
  </si>
  <si>
    <t>AAIP F&amp;A</t>
  </si>
  <si>
    <t>Calculated using provisional 33.1% rate on provisional base; confirm with AAIP rate agreement.</t>
  </si>
  <si>
    <t>Total AAIP Cost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</si>
</sst>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wrapText="1"/>
    </xf>
    <xf numFmtId="0" fontId="4" fillId="7" borderId="0" xfId="0" applyFont="1" applyFill="1" applyAlignment="1">
      <alignment vertical="center" wrapText="1"/>
    </xf>
    <xf numFmtId="0" fontId="0" fillId="8" borderId="0" xfId="0" applyFill="1" applyAlignment="1">
      <alignment wrapText="1"/>
    </xf>
    <xf numFmtId="164" fontId="0" fillId="0" borderId="0" xfId="0" applyNumberFormat="1" applyAlignment="1">
      <alignment wrapText="1"/>
    </xf>
    <xf numFmtId="164" fontId="4" fillId="5" borderId="0" xfId="0" applyNumberFormat="1" applyFont="1" applyFill="1" applyAlignment="1">
      <alignment vertical="center" wrapText="1"/>
    </xf>
    <xf numFmtId="164" fontId="0" fillId="8" borderId="0" xfId="0" applyNumberFormat="1" applyFill="1" applyAlignment="1">
      <alignment wrapText="1"/>
    </xf>
    <xf numFmtId="164" fontId="5" fillId="6" borderId="0" xfId="0" applyNumberFormat="1" applyFont="1" applyFill="1" applyAlignment="1">
      <alignment wrapText="1"/>
    </xf>
    <xf numFmtId="164" fontId="4" fillId="7" borderId="0" xfId="0" applyNumberFormat="1" applyFont="1" applyFill="1" applyAlignment="1">
      <alignment vertical="center" wrapText="1"/>
    </xf>
    <xf numFmtId="2" fontId="0" fillId="0" borderId="0" xfId="0" applyNumberFormat="1" applyAlignment="1">
      <alignment wrapText="1"/>
    </xf>
    <xf numFmtId="2" fontId="4" fillId="5" borderId="0" xfId="0" applyNumberFormat="1" applyFont="1" applyFill="1" applyAlignment="1">
      <alignment vertical="center" wrapText="1"/>
    </xf>
    <xf numFmtId="2" fontId="0" fillId="8" borderId="0" xfId="0" applyNumberFormat="1" applyFill="1" applyAlignment="1">
      <alignment wrapText="1"/>
    </xf>
    <xf numFmtId="164" fontId="3" fillId="4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AAIP Budget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Summary!$A$5:$A$15</c:f>
              <c:strCache>
                <c:ptCount val="11"/>
                <c:pt idx="0">
                  <c:v>Salaries &amp; Wages</c:v>
                </c:pt>
                <c:pt idx="1">
                  <c:v>Fringe Benefits</c:v>
                </c:pt>
                <c:pt idx="2">
                  <c:v>Travel</c:v>
                </c:pt>
                <c:pt idx="3">
                  <c:v>Participant Support</c:v>
                </c:pt>
                <c:pt idx="4">
                  <c:v>Equipment</c:v>
                </c:pt>
                <c:pt idx="5">
                  <c:v>Materials &amp; Supplies</c:v>
                </c:pt>
                <c:pt idx="6">
                  <c:v>Publication/Documentation/Dissemination</c:v>
                </c:pt>
                <c:pt idx="7">
                  <c:v>Consultant Services</c:v>
                </c:pt>
                <c:pt idx="8">
                  <c:v>Computer Services</c:v>
                </c:pt>
                <c:pt idx="9">
                  <c:v>Other Direct Costs</c:v>
                </c:pt>
                <c:pt idx="10">
                  <c:v>Indirect Costs</c:v>
                </c:pt>
              </c:strCache>
            </c:strRef>
          </c:cat>
          <c:val>
            <c:numRef>
              <c:f>Summary!$B$5:$B$15</c:f>
              <c:numCache>
                <c:formatCode>\$#,##0</c:formatCode>
                <c:ptCount val="11"/>
                <c:pt idx="0">
                  <c:v>527000</c:v>
                </c:pt>
                <c:pt idx="1">
                  <c:v>131750</c:v>
                </c:pt>
                <c:pt idx="2">
                  <c:v>80000</c:v>
                </c:pt>
                <c:pt idx="3">
                  <c:v>75000</c:v>
                </c:pt>
                <c:pt idx="4">
                  <c:v>75000</c:v>
                </c:pt>
                <c:pt idx="5">
                  <c:v>20000</c:v>
                </c:pt>
                <c:pt idx="6">
                  <c:v>20000</c:v>
                </c:pt>
                <c:pt idx="7">
                  <c:v>90000</c:v>
                </c:pt>
                <c:pt idx="8">
                  <c:v>345000</c:v>
                </c:pt>
                <c:pt idx="9">
                  <c:v>30000</c:v>
                </c:pt>
                <c:pt idx="10">
                  <c:v>411681.25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A-4AC7-A364-088589F8988E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Summary!$A$5:$A$15</c:f>
              <c:strCache>
                <c:ptCount val="11"/>
                <c:pt idx="0">
                  <c:v>Salaries &amp; Wages</c:v>
                </c:pt>
                <c:pt idx="1">
                  <c:v>Fringe Benefits</c:v>
                </c:pt>
                <c:pt idx="2">
                  <c:v>Travel</c:v>
                </c:pt>
                <c:pt idx="3">
                  <c:v>Participant Support</c:v>
                </c:pt>
                <c:pt idx="4">
                  <c:v>Equipment</c:v>
                </c:pt>
                <c:pt idx="5">
                  <c:v>Materials &amp; Supplies</c:v>
                </c:pt>
                <c:pt idx="6">
                  <c:v>Publication/Documentation/Dissemination</c:v>
                </c:pt>
                <c:pt idx="7">
                  <c:v>Consultant Services</c:v>
                </c:pt>
                <c:pt idx="8">
                  <c:v>Computer Services</c:v>
                </c:pt>
                <c:pt idx="9">
                  <c:v>Other Direct Costs</c:v>
                </c:pt>
                <c:pt idx="10">
                  <c:v>Indirect Costs</c:v>
                </c:pt>
              </c:strCache>
            </c:strRef>
          </c:cat>
          <c:val>
            <c:numRef>
              <c:f>Summary!$C$5:$C$15</c:f>
              <c:numCache>
                <c:formatCode>\$#,##0</c:formatCode>
                <c:ptCount val="11"/>
                <c:pt idx="0">
                  <c:v>542810</c:v>
                </c:pt>
                <c:pt idx="1">
                  <c:v>135702.5</c:v>
                </c:pt>
                <c:pt idx="2">
                  <c:v>65000</c:v>
                </c:pt>
                <c:pt idx="3">
                  <c:v>75000</c:v>
                </c:pt>
                <c:pt idx="4">
                  <c:v>0</c:v>
                </c:pt>
                <c:pt idx="5">
                  <c:v>10000</c:v>
                </c:pt>
                <c:pt idx="6">
                  <c:v>30000</c:v>
                </c:pt>
                <c:pt idx="7">
                  <c:v>60000</c:v>
                </c:pt>
                <c:pt idx="8">
                  <c:v>220000</c:v>
                </c:pt>
                <c:pt idx="9">
                  <c:v>25000</c:v>
                </c:pt>
                <c:pt idx="10">
                  <c:v>360297.63750000001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A-4AC7-A364-088589F8988E}"/>
            </c:ext>
          </c:extLst>
        </c:ser>
        <c:ser>
          <c:idx val="2"/>
          <c:order val="2"/>
          <c:tx>
            <c:v>Series 3</c:v>
          </c:tx>
          <c:invertIfNegative val="1"/>
          <c:cat>
            <c:strRef>
              <c:f>Summary!$A$5:$A$15</c:f>
              <c:strCache>
                <c:ptCount val="11"/>
                <c:pt idx="0">
                  <c:v>Salaries &amp; Wages</c:v>
                </c:pt>
                <c:pt idx="1">
                  <c:v>Fringe Benefits</c:v>
                </c:pt>
                <c:pt idx="2">
                  <c:v>Travel</c:v>
                </c:pt>
                <c:pt idx="3">
                  <c:v>Participant Support</c:v>
                </c:pt>
                <c:pt idx="4">
                  <c:v>Equipment</c:v>
                </c:pt>
                <c:pt idx="5">
                  <c:v>Materials &amp; Supplies</c:v>
                </c:pt>
                <c:pt idx="6">
                  <c:v>Publication/Documentation/Dissemination</c:v>
                </c:pt>
                <c:pt idx="7">
                  <c:v>Consultant Services</c:v>
                </c:pt>
                <c:pt idx="8">
                  <c:v>Computer Services</c:v>
                </c:pt>
                <c:pt idx="9">
                  <c:v>Other Direct Costs</c:v>
                </c:pt>
                <c:pt idx="10">
                  <c:v>Indirect Costs</c:v>
                </c:pt>
              </c:strCache>
            </c:strRef>
          </c:cat>
          <c:val>
            <c:numRef>
              <c:f>Summary!$D$5:$D$15</c:f>
              <c:numCache>
                <c:formatCode>\$#,##0</c:formatCode>
                <c:ptCount val="11"/>
                <c:pt idx="0">
                  <c:v>559094.30000000005</c:v>
                </c:pt>
                <c:pt idx="1">
                  <c:v>139773.57500000001</c:v>
                </c:pt>
                <c:pt idx="2">
                  <c:v>55000</c:v>
                </c:pt>
                <c:pt idx="3">
                  <c:v>75000</c:v>
                </c:pt>
                <c:pt idx="4">
                  <c:v>0</c:v>
                </c:pt>
                <c:pt idx="5">
                  <c:v>10000</c:v>
                </c:pt>
                <c:pt idx="6">
                  <c:v>30000</c:v>
                </c:pt>
                <c:pt idx="7">
                  <c:v>50000</c:v>
                </c:pt>
                <c:pt idx="8">
                  <c:v>180000</c:v>
                </c:pt>
                <c:pt idx="9">
                  <c:v>25000</c:v>
                </c:pt>
                <c:pt idx="10">
                  <c:v>347175.26662499999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A-4AC7-A364-088589F8988E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Summary!$A$5:$A$15</c:f>
              <c:strCache>
                <c:ptCount val="11"/>
                <c:pt idx="0">
                  <c:v>Salaries &amp; Wages</c:v>
                </c:pt>
                <c:pt idx="1">
                  <c:v>Fringe Benefits</c:v>
                </c:pt>
                <c:pt idx="2">
                  <c:v>Travel</c:v>
                </c:pt>
                <c:pt idx="3">
                  <c:v>Participant Support</c:v>
                </c:pt>
                <c:pt idx="4">
                  <c:v>Equipment</c:v>
                </c:pt>
                <c:pt idx="5">
                  <c:v>Materials &amp; Supplies</c:v>
                </c:pt>
                <c:pt idx="6">
                  <c:v>Publication/Documentation/Dissemination</c:v>
                </c:pt>
                <c:pt idx="7">
                  <c:v>Consultant Services</c:v>
                </c:pt>
                <c:pt idx="8">
                  <c:v>Computer Services</c:v>
                </c:pt>
                <c:pt idx="9">
                  <c:v>Other Direct Costs</c:v>
                </c:pt>
                <c:pt idx="10">
                  <c:v>Indirect Costs</c:v>
                </c:pt>
              </c:strCache>
            </c:strRef>
          </c:cat>
          <c:val>
            <c:numRef>
              <c:f>Summary!$E$5:$E$15</c:f>
              <c:numCache>
                <c:formatCode>\$#,##0</c:formatCode>
                <c:ptCount val="11"/>
                <c:pt idx="0">
                  <c:v>1628904.3</c:v>
                </c:pt>
                <c:pt idx="1">
                  <c:v>407226.07500000001</c:v>
                </c:pt>
                <c:pt idx="2">
                  <c:v>200000</c:v>
                </c:pt>
                <c:pt idx="3">
                  <c:v>225000</c:v>
                </c:pt>
                <c:pt idx="4">
                  <c:v>75000</c:v>
                </c:pt>
                <c:pt idx="5">
                  <c:v>40000</c:v>
                </c:pt>
                <c:pt idx="6">
                  <c:v>80000</c:v>
                </c:pt>
                <c:pt idx="7">
                  <c:v>200000</c:v>
                </c:pt>
                <c:pt idx="8">
                  <c:v>745000</c:v>
                </c:pt>
                <c:pt idx="9">
                  <c:v>80000</c:v>
                </c:pt>
                <c:pt idx="10">
                  <c:v>1119154.1541249999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A-4AC7-A364-088589F8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2" workbookViewId="0">
      <selection sqref="A1:E1"/>
    </sheetView>
  </sheetViews>
  <sheetFormatPr defaultRowHeight="14.25"/>
  <cols>
    <col min="1" max="1" width="38" customWidth="1"/>
    <col min="2" max="5" width="14" customWidth="1"/>
  </cols>
  <sheetData>
    <row r="1" spans="1:10" ht="86.25">
      <c r="A1" s="17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" t="s">
        <v>0</v>
      </c>
      <c r="G1" s="1" t="s">
        <v>0</v>
      </c>
      <c r="H1" s="1" t="s">
        <v>0</v>
      </c>
      <c r="I1" s="1"/>
      <c r="J1" s="1"/>
    </row>
    <row r="2" spans="1:10" ht="114.75">
      <c r="A2" s="19" t="s">
        <v>1</v>
      </c>
      <c r="B2" s="18" t="s">
        <v>1</v>
      </c>
      <c r="C2" s="18" t="s">
        <v>1</v>
      </c>
      <c r="D2" s="18" t="s">
        <v>1</v>
      </c>
      <c r="E2" s="18" t="s">
        <v>1</v>
      </c>
      <c r="F2" s="1" t="s">
        <v>1</v>
      </c>
      <c r="G2" s="1" t="s">
        <v>1</v>
      </c>
      <c r="H2" s="1" t="s">
        <v>1</v>
      </c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1"/>
      <c r="G4" s="1"/>
      <c r="H4" s="1"/>
      <c r="I4" s="1"/>
      <c r="J4" s="1"/>
    </row>
    <row r="5" spans="1:10">
      <c r="A5" s="1" t="s">
        <v>7</v>
      </c>
      <c r="B5" s="7">
        <f>'AAIP Budget'!G15</f>
        <v>527000</v>
      </c>
      <c r="C5" s="7">
        <f>'AAIP Budget'!H15</f>
        <v>542810</v>
      </c>
      <c r="D5" s="7">
        <f>'AAIP Budget'!I15</f>
        <v>559094.30000000005</v>
      </c>
      <c r="E5" s="7">
        <f t="shared" ref="E5:E16" si="0">SUM(B5:D5)</f>
        <v>1628904.3</v>
      </c>
      <c r="F5" s="1"/>
      <c r="G5" s="1"/>
      <c r="H5" s="1"/>
      <c r="I5" s="1"/>
      <c r="J5" s="1"/>
    </row>
    <row r="6" spans="1:10">
      <c r="A6" s="1" t="s">
        <v>8</v>
      </c>
      <c r="B6" s="7">
        <f>'AAIP Budget'!G16</f>
        <v>131750</v>
      </c>
      <c r="C6" s="7">
        <f>'AAIP Budget'!H16</f>
        <v>135702.5</v>
      </c>
      <c r="D6" s="7">
        <f>'AAIP Budget'!I16</f>
        <v>139773.57500000001</v>
      </c>
      <c r="E6" s="7">
        <f t="shared" si="0"/>
        <v>407226.07500000001</v>
      </c>
      <c r="F6" s="1"/>
      <c r="G6" s="1"/>
      <c r="H6" s="1"/>
      <c r="I6" s="1"/>
      <c r="J6" s="1"/>
    </row>
    <row r="7" spans="1:10">
      <c r="A7" s="1" t="s">
        <v>9</v>
      </c>
      <c r="B7" s="7">
        <f>SUM('AAIP Budget'!G18:G20)</f>
        <v>80000</v>
      </c>
      <c r="C7" s="7">
        <f>SUM('AAIP Budget'!H18:H20)</f>
        <v>65000</v>
      </c>
      <c r="D7" s="7">
        <f>SUM('AAIP Budget'!I18:I20)</f>
        <v>55000</v>
      </c>
      <c r="E7" s="7">
        <f t="shared" si="0"/>
        <v>200000</v>
      </c>
      <c r="F7" s="1"/>
      <c r="G7" s="1"/>
      <c r="H7" s="1"/>
      <c r="I7" s="1"/>
      <c r="J7" s="1"/>
    </row>
    <row r="8" spans="1:10">
      <c r="A8" s="1" t="s">
        <v>10</v>
      </c>
      <c r="B8" s="7">
        <f>'AAIP Budget'!G21</f>
        <v>75000</v>
      </c>
      <c r="C8" s="7">
        <f>'AAIP Budget'!H21</f>
        <v>75000</v>
      </c>
      <c r="D8" s="7">
        <f>'AAIP Budget'!I21</f>
        <v>75000</v>
      </c>
      <c r="E8" s="7">
        <f t="shared" si="0"/>
        <v>225000</v>
      </c>
      <c r="F8" s="1"/>
      <c r="G8" s="1"/>
      <c r="H8" s="1"/>
      <c r="I8" s="1"/>
      <c r="J8" s="1"/>
    </row>
    <row r="9" spans="1:10">
      <c r="A9" s="1" t="s">
        <v>11</v>
      </c>
      <c r="B9" s="7">
        <f>'AAIP Budget'!G22</f>
        <v>75000</v>
      </c>
      <c r="C9" s="7">
        <f>'AAIP Budget'!H22</f>
        <v>0</v>
      </c>
      <c r="D9" s="7">
        <f>'AAIP Budget'!I22</f>
        <v>0</v>
      </c>
      <c r="E9" s="7">
        <f t="shared" si="0"/>
        <v>75000</v>
      </c>
      <c r="F9" s="1"/>
      <c r="G9" s="1"/>
      <c r="H9" s="1"/>
      <c r="I9" s="1"/>
      <c r="J9" s="1"/>
    </row>
    <row r="10" spans="1:10">
      <c r="A10" s="1" t="s">
        <v>12</v>
      </c>
      <c r="B10" s="7">
        <f>'AAIP Budget'!G23</f>
        <v>20000</v>
      </c>
      <c r="C10" s="7">
        <f>'AAIP Budget'!H23</f>
        <v>10000</v>
      </c>
      <c r="D10" s="7">
        <f>'AAIP Budget'!I23</f>
        <v>10000</v>
      </c>
      <c r="E10" s="7">
        <f t="shared" si="0"/>
        <v>40000</v>
      </c>
      <c r="F10" s="1"/>
      <c r="G10" s="1"/>
      <c r="H10" s="1"/>
      <c r="I10" s="1"/>
      <c r="J10" s="1"/>
    </row>
    <row r="11" spans="1:10">
      <c r="A11" s="1" t="s">
        <v>13</v>
      </c>
      <c r="B11" s="7">
        <f>'AAIP Budget'!G24</f>
        <v>20000</v>
      </c>
      <c r="C11" s="7">
        <f>'AAIP Budget'!H24</f>
        <v>30000</v>
      </c>
      <c r="D11" s="7">
        <f>'AAIP Budget'!I24</f>
        <v>30000</v>
      </c>
      <c r="E11" s="7">
        <f t="shared" si="0"/>
        <v>80000</v>
      </c>
      <c r="F11" s="1"/>
      <c r="G11" s="1"/>
      <c r="H11" s="1"/>
      <c r="I11" s="1"/>
      <c r="J11" s="1"/>
    </row>
    <row r="12" spans="1:10">
      <c r="A12" s="1" t="s">
        <v>14</v>
      </c>
      <c r="B12" s="7">
        <f>SUM('AAIP Budget'!G25:G27)</f>
        <v>90000</v>
      </c>
      <c r="C12" s="7">
        <f>SUM('AAIP Budget'!H25:H27)</f>
        <v>60000</v>
      </c>
      <c r="D12" s="7">
        <f>SUM('AAIP Budget'!I25:I27)</f>
        <v>50000</v>
      </c>
      <c r="E12" s="7">
        <f t="shared" si="0"/>
        <v>200000</v>
      </c>
      <c r="F12" s="1"/>
      <c r="G12" s="1"/>
      <c r="H12" s="1"/>
      <c r="I12" s="1"/>
      <c r="J12" s="1"/>
    </row>
    <row r="13" spans="1:10">
      <c r="A13" s="1" t="s">
        <v>15</v>
      </c>
      <c r="B13" s="7">
        <f>SUM('AAIP Budget'!G28:G32)</f>
        <v>345000</v>
      </c>
      <c r="C13" s="7">
        <f>SUM('AAIP Budget'!H28:H32)</f>
        <v>220000</v>
      </c>
      <c r="D13" s="7">
        <f>SUM('AAIP Budget'!I28:I32)</f>
        <v>180000</v>
      </c>
      <c r="E13" s="7">
        <f t="shared" si="0"/>
        <v>745000</v>
      </c>
      <c r="F13" s="1"/>
      <c r="G13" s="1"/>
      <c r="H13" s="1"/>
      <c r="I13" s="1"/>
      <c r="J13" s="1"/>
    </row>
    <row r="14" spans="1:10">
      <c r="A14" s="1" t="s">
        <v>16</v>
      </c>
      <c r="B14" s="7">
        <f>SUM('AAIP Budget'!G33:G35)</f>
        <v>30000</v>
      </c>
      <c r="C14" s="7">
        <f>SUM('AAIP Budget'!H33:H35)</f>
        <v>25000</v>
      </c>
      <c r="D14" s="7">
        <f>SUM('AAIP Budget'!I33:I35)</f>
        <v>25000</v>
      </c>
      <c r="E14" s="7">
        <f t="shared" si="0"/>
        <v>80000</v>
      </c>
      <c r="F14" s="1"/>
      <c r="G14" s="1"/>
      <c r="H14" s="1"/>
      <c r="I14" s="1"/>
      <c r="J14" s="1"/>
    </row>
    <row r="15" spans="1:10">
      <c r="A15" s="1" t="s">
        <v>17</v>
      </c>
      <c r="B15" s="7">
        <f>'AAIP Budget'!G38</f>
        <v>411681.25</v>
      </c>
      <c r="C15" s="7">
        <f>'AAIP Budget'!H38</f>
        <v>360297.63750000001</v>
      </c>
      <c r="D15" s="7">
        <f>'AAIP Budget'!I38</f>
        <v>347175.26662499999</v>
      </c>
      <c r="E15" s="7">
        <f t="shared" si="0"/>
        <v>1119154.1541249999</v>
      </c>
      <c r="F15" s="1"/>
      <c r="G15" s="1"/>
      <c r="H15" s="1"/>
      <c r="I15" s="1"/>
      <c r="J15" s="1"/>
    </row>
    <row r="16" spans="1:10" ht="15">
      <c r="A16" s="5" t="s">
        <v>18</v>
      </c>
      <c r="B16" s="11">
        <f>'AAIP Budget'!G39</f>
        <v>1805431.25</v>
      </c>
      <c r="C16" s="11">
        <f>'AAIP Budget'!H39</f>
        <v>1523810.1375</v>
      </c>
      <c r="D16" s="11">
        <f>'AAIP Budget'!I39</f>
        <v>1471043.1416249999</v>
      </c>
      <c r="E16" s="11">
        <f t="shared" si="0"/>
        <v>4800284.5291250004</v>
      </c>
      <c r="F16" s="1"/>
      <c r="G16" s="1"/>
      <c r="H16" s="1"/>
      <c r="I16" s="1"/>
      <c r="J16" s="1"/>
    </row>
    <row r="17" spans="1:10">
      <c r="A17" s="1"/>
      <c r="B17" s="7"/>
      <c r="C17" s="7"/>
      <c r="D17" s="7"/>
      <c r="E17" s="7"/>
      <c r="F17" s="1"/>
      <c r="G17" s="1"/>
      <c r="H17" s="1"/>
      <c r="I17" s="1"/>
      <c r="J17" s="1"/>
    </row>
    <row r="18" spans="1:10">
      <c r="A18" s="1"/>
      <c r="B18" s="7"/>
      <c r="C18" s="7"/>
      <c r="D18" s="7"/>
      <c r="E18" s="7"/>
      <c r="F18" s="1"/>
      <c r="G18" s="1"/>
      <c r="H18" s="1"/>
      <c r="I18" s="1"/>
      <c r="J18" s="1"/>
    </row>
    <row r="19" spans="1:10">
      <c r="A19" s="1"/>
      <c r="B19" s="7"/>
      <c r="C19" s="7"/>
      <c r="D19" s="7"/>
      <c r="E19" s="7"/>
      <c r="F19" s="1"/>
      <c r="G19" s="1"/>
      <c r="H19" s="1"/>
      <c r="I19" s="1"/>
      <c r="J19" s="1"/>
    </row>
    <row r="20" spans="1:10" ht="15">
      <c r="A20" s="2" t="s">
        <v>19</v>
      </c>
      <c r="B20" s="15" t="s">
        <v>3</v>
      </c>
      <c r="C20" s="15" t="s">
        <v>4</v>
      </c>
      <c r="D20" s="15" t="s">
        <v>5</v>
      </c>
      <c r="E20" s="15" t="s">
        <v>6</v>
      </c>
      <c r="F20" s="1"/>
      <c r="G20" s="1"/>
      <c r="H20" s="1"/>
      <c r="I20" s="1"/>
      <c r="J20" s="1"/>
    </row>
    <row r="21" spans="1:10">
      <c r="A21" s="1" t="s">
        <v>20</v>
      </c>
      <c r="B21" s="7">
        <f>'AAIP Budget'!G39</f>
        <v>1805431.25</v>
      </c>
      <c r="C21" s="7">
        <f>'AAIP Budget'!H39</f>
        <v>1523810.1375</v>
      </c>
      <c r="D21" s="7">
        <f>'AAIP Budget'!I39</f>
        <v>1471043.1416249999</v>
      </c>
      <c r="E21" s="7">
        <f>'AAIP Budget'!J39</f>
        <v>4800284.5291250004</v>
      </c>
      <c r="F21" s="1"/>
      <c r="G21" s="1"/>
      <c r="H21" s="1"/>
      <c r="I21" s="1"/>
      <c r="J21" s="1"/>
    </row>
    <row r="22" spans="1:10">
      <c r="A22" s="1" t="s">
        <v>21</v>
      </c>
      <c r="B22" s="7">
        <v>1300000</v>
      </c>
      <c r="C22" s="7">
        <v>1350000</v>
      </c>
      <c r="D22" s="7">
        <v>1300000</v>
      </c>
      <c r="E22" s="7">
        <f>SUM(B22:D22)</f>
        <v>3950000</v>
      </c>
      <c r="F22" s="1"/>
      <c r="G22" s="1"/>
      <c r="H22" s="1"/>
      <c r="I22" s="1"/>
      <c r="J22" s="1"/>
    </row>
    <row r="23" spans="1:10" ht="15">
      <c r="A23" s="5" t="s">
        <v>22</v>
      </c>
      <c r="B23" s="11">
        <f>SUM(B21:B22)</f>
        <v>3105431.25</v>
      </c>
      <c r="C23" s="11">
        <f>SUM(C21:C22)</f>
        <v>2873810.1375000002</v>
      </c>
      <c r="D23" s="11">
        <f>SUM(D21:D22)</f>
        <v>2771043.1416250002</v>
      </c>
      <c r="E23" s="11">
        <f>SUM(E21:E22)</f>
        <v>8750284.5291250013</v>
      </c>
      <c r="F23" s="1"/>
      <c r="G23" s="1"/>
      <c r="H23" s="1"/>
      <c r="I23" s="1"/>
      <c r="J23" s="1"/>
    </row>
    <row r="24" spans="1:10">
      <c r="A24" s="1"/>
      <c r="B24" s="7"/>
      <c r="C24" s="7"/>
      <c r="D24" s="7"/>
      <c r="E24" s="7"/>
      <c r="F24" s="1"/>
      <c r="G24" s="1"/>
      <c r="H24" s="1"/>
      <c r="I24" s="1"/>
      <c r="J24" s="1"/>
    </row>
    <row r="25" spans="1:10">
      <c r="A25" s="1" t="s">
        <v>23</v>
      </c>
      <c r="B25" s="7"/>
      <c r="C25" s="7"/>
      <c r="D25" s="7"/>
      <c r="E25" s="16">
        <f>E21/E23</f>
        <v>0.54858610747426895</v>
      </c>
      <c r="F25" s="1"/>
      <c r="G25" s="1"/>
      <c r="H25" s="1"/>
      <c r="I25" s="1"/>
      <c r="J25" s="1"/>
    </row>
    <row r="26" spans="1:10">
      <c r="A26" s="1" t="s">
        <v>24</v>
      </c>
      <c r="B26" s="7"/>
      <c r="C26" s="7"/>
      <c r="D26" s="7"/>
      <c r="E26" s="16">
        <f>E22/E23</f>
        <v>0.451413892525731</v>
      </c>
      <c r="F26" s="1"/>
      <c r="G26" s="1"/>
      <c r="H26" s="1"/>
      <c r="I26" s="1"/>
      <c r="J26" s="1"/>
    </row>
    <row r="27" spans="1:10">
      <c r="A27" s="1" t="s">
        <v>25</v>
      </c>
      <c r="B27" s="7"/>
      <c r="C27" s="7"/>
      <c r="D27" s="7"/>
      <c r="E27" s="7">
        <f>Assumptions!$B$6</f>
        <v>9000000</v>
      </c>
      <c r="F27" s="1"/>
      <c r="G27" s="1"/>
      <c r="H27" s="1"/>
      <c r="I27" s="1"/>
      <c r="J27" s="1"/>
    </row>
    <row r="28" spans="1:10">
      <c r="A28" s="1" t="s">
        <v>26</v>
      </c>
      <c r="B28" s="7"/>
      <c r="C28" s="7"/>
      <c r="D28" s="7"/>
      <c r="E28" s="7">
        <f>E27-E23</f>
        <v>249715.47087499872</v>
      </c>
      <c r="F28" s="1"/>
      <c r="G28" s="1"/>
      <c r="H28" s="1"/>
      <c r="I28" s="1"/>
      <c r="J28" s="1"/>
    </row>
    <row r="29" spans="1:10">
      <c r="A29" s="1"/>
      <c r="B29" s="7"/>
      <c r="C29" s="7"/>
      <c r="D29" s="7"/>
      <c r="E29" s="7"/>
      <c r="F29" s="1"/>
      <c r="G29" s="1"/>
      <c r="H29" s="1"/>
      <c r="I29" s="1"/>
      <c r="J29" s="1"/>
    </row>
    <row r="30" spans="1:10">
      <c r="A30" s="1"/>
      <c r="B30" s="7"/>
      <c r="C30" s="7"/>
      <c r="D30" s="7"/>
      <c r="E30" s="7"/>
      <c r="F30" s="1"/>
      <c r="G30" s="1"/>
      <c r="H30" s="1"/>
      <c r="I30" s="1"/>
      <c r="J30" s="1"/>
    </row>
    <row r="31" spans="1:10">
      <c r="A31" s="1"/>
      <c r="B31" s="7"/>
      <c r="C31" s="7"/>
      <c r="D31" s="7"/>
      <c r="E31" s="7"/>
      <c r="F31" s="1"/>
      <c r="G31" s="1"/>
      <c r="H31" s="1"/>
      <c r="I31" s="1"/>
      <c r="J31" s="1"/>
    </row>
    <row r="32" spans="1:10">
      <c r="A32" s="1"/>
      <c r="B32" s="7"/>
      <c r="C32" s="7"/>
      <c r="D32" s="7"/>
      <c r="E32" s="7"/>
      <c r="F32" s="1"/>
      <c r="G32" s="1"/>
      <c r="H32" s="1"/>
      <c r="I32" s="1"/>
      <c r="J32" s="1"/>
    </row>
    <row r="33" spans="1:10">
      <c r="A33" s="1"/>
      <c r="B33" s="7"/>
      <c r="C33" s="7"/>
      <c r="D33" s="7"/>
      <c r="E33" s="7"/>
      <c r="F33" s="1"/>
      <c r="G33" s="1"/>
      <c r="H33" s="1"/>
      <c r="I33" s="1"/>
      <c r="J33" s="1"/>
    </row>
    <row r="34" spans="1:10">
      <c r="A34" s="1"/>
      <c r="B34" s="7"/>
      <c r="C34" s="7"/>
      <c r="D34" s="7"/>
      <c r="E34" s="7"/>
      <c r="F34" s="1"/>
      <c r="G34" s="1"/>
      <c r="H34" s="1"/>
      <c r="I34" s="1"/>
      <c r="J34" s="1"/>
    </row>
    <row r="35" spans="1:10">
      <c r="A35" s="1"/>
      <c r="B35" s="7"/>
      <c r="C35" s="7"/>
      <c r="D35" s="7"/>
      <c r="E35" s="7"/>
      <c r="F35" s="1"/>
      <c r="G35" s="1"/>
      <c r="H35" s="1"/>
      <c r="I35" s="1"/>
      <c r="J35" s="1"/>
    </row>
    <row r="36" spans="1:10">
      <c r="A36" s="1"/>
      <c r="B36" s="7"/>
      <c r="C36" s="7"/>
      <c r="D36" s="7"/>
      <c r="E36" s="7"/>
      <c r="F36" s="1"/>
      <c r="G36" s="1"/>
      <c r="H36" s="1"/>
      <c r="I36" s="1"/>
      <c r="J36" s="1"/>
    </row>
    <row r="37" spans="1:10">
      <c r="A37" s="1"/>
      <c r="B37" s="7"/>
      <c r="C37" s="7"/>
      <c r="D37" s="7"/>
      <c r="E37" s="7"/>
      <c r="F37" s="1"/>
      <c r="G37" s="1"/>
      <c r="H37" s="1"/>
      <c r="I37" s="1"/>
      <c r="J37" s="1"/>
    </row>
    <row r="38" spans="1:10">
      <c r="A38" s="1"/>
      <c r="B38" s="7"/>
      <c r="C38" s="7"/>
      <c r="D38" s="7"/>
      <c r="E38" s="7"/>
      <c r="F38" s="1"/>
      <c r="G38" s="1"/>
      <c r="H38" s="1"/>
      <c r="I38" s="1"/>
      <c r="J38" s="1"/>
    </row>
    <row r="39" spans="1:10">
      <c r="A39" s="1"/>
      <c r="B39" s="7"/>
      <c r="C39" s="7"/>
      <c r="D39" s="7"/>
      <c r="E39" s="7"/>
      <c r="F39" s="1"/>
      <c r="G39" s="1"/>
      <c r="H39" s="1"/>
      <c r="I39" s="1"/>
      <c r="J39" s="1"/>
    </row>
    <row r="40" spans="1:10">
      <c r="A40" s="1"/>
      <c r="B40" s="7"/>
      <c r="C40" s="7"/>
      <c r="D40" s="7"/>
      <c r="E40" s="7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workbookViewId="0"/>
  </sheetViews>
  <sheetFormatPr defaultRowHeight="14.25"/>
  <cols>
    <col min="1" max="1" width="12" customWidth="1"/>
    <col min="2" max="2" width="24" customWidth="1"/>
    <col min="3" max="3" width="12" customWidth="1"/>
    <col min="4" max="4" width="44" customWidth="1"/>
    <col min="5" max="5" width="10" customWidth="1"/>
    <col min="6" max="6" width="22" customWidth="1"/>
    <col min="7" max="10" width="14" customWidth="1"/>
  </cols>
  <sheetData>
    <row r="1" spans="1:10" ht="151.15" customHeight="1">
      <c r="A1" s="17" t="s">
        <v>1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</row>
    <row r="2" spans="1:10" ht="79.150000000000006" customHeight="1">
      <c r="A2" s="19" t="s">
        <v>27</v>
      </c>
      <c r="B2" s="18" t="s">
        <v>27</v>
      </c>
      <c r="C2" s="18" t="s">
        <v>27</v>
      </c>
      <c r="D2" s="18" t="s">
        <v>27</v>
      </c>
      <c r="E2" s="18" t="s">
        <v>27</v>
      </c>
      <c r="F2" s="18" t="s">
        <v>27</v>
      </c>
      <c r="G2" s="18" t="s">
        <v>27</v>
      </c>
      <c r="H2" s="18" t="s">
        <v>27</v>
      </c>
      <c r="I2" s="18" t="s">
        <v>27</v>
      </c>
      <c r="J2" s="18" t="s">
        <v>27</v>
      </c>
    </row>
    <row r="3" spans="1:10" ht="184.9" customHeight="1">
      <c r="A3" s="18" t="s">
        <v>28</v>
      </c>
      <c r="B3" s="18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28</v>
      </c>
      <c r="J3" s="18" t="s">
        <v>28</v>
      </c>
    </row>
    <row r="4" spans="1:10" ht="1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9.6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</v>
      </c>
      <c r="H5" s="2" t="s">
        <v>4</v>
      </c>
      <c r="I5" s="2" t="s">
        <v>5</v>
      </c>
      <c r="J5" s="2" t="s">
        <v>6</v>
      </c>
    </row>
    <row r="6" spans="1:10" ht="66" customHeight="1">
      <c r="A6" s="1" t="s">
        <v>35</v>
      </c>
      <c r="B6" s="1" t="s">
        <v>36</v>
      </c>
      <c r="C6" s="1" t="s">
        <v>37</v>
      </c>
      <c r="D6" s="1" t="s">
        <v>38</v>
      </c>
      <c r="E6" s="12">
        <v>0.2</v>
      </c>
      <c r="F6" s="7">
        <v>200000</v>
      </c>
      <c r="G6" s="7">
        <f t="shared" ref="G6:G14" si="0">E6*F6</f>
        <v>40000</v>
      </c>
      <c r="H6" s="7">
        <f>G6*(1+Assumptions!$B$4)</f>
        <v>41200</v>
      </c>
      <c r="I6" s="7">
        <f>H6*(1+Assumptions!$B$4)</f>
        <v>42436</v>
      </c>
      <c r="J6" s="7">
        <f t="shared" ref="J6:J14" si="1">SUM(G6:I6)</f>
        <v>123636</v>
      </c>
    </row>
    <row r="7" spans="1:10" ht="39.6" customHeight="1">
      <c r="A7" s="1" t="s">
        <v>35</v>
      </c>
      <c r="B7" s="1" t="s">
        <v>36</v>
      </c>
      <c r="C7" s="1" t="s">
        <v>37</v>
      </c>
      <c r="D7" s="1" t="s">
        <v>39</v>
      </c>
      <c r="E7" s="12">
        <v>0.1</v>
      </c>
      <c r="F7" s="7">
        <v>180000</v>
      </c>
      <c r="G7" s="7">
        <f t="shared" si="0"/>
        <v>18000</v>
      </c>
      <c r="H7" s="7">
        <f>G7*(1+Assumptions!$B$4)</f>
        <v>18540</v>
      </c>
      <c r="I7" s="7">
        <f>H7*(1+Assumptions!$B$4)</f>
        <v>19096.2</v>
      </c>
      <c r="J7" s="7">
        <f t="shared" si="1"/>
        <v>55636.2</v>
      </c>
    </row>
    <row r="8" spans="1:10" ht="52.7" customHeight="1">
      <c r="A8" s="1" t="s">
        <v>40</v>
      </c>
      <c r="B8" s="1" t="s">
        <v>41</v>
      </c>
      <c r="C8" s="1" t="s">
        <v>37</v>
      </c>
      <c r="D8" s="1" t="s">
        <v>42</v>
      </c>
      <c r="E8" s="12">
        <v>1</v>
      </c>
      <c r="F8" s="7">
        <v>105000</v>
      </c>
      <c r="G8" s="7">
        <f t="shared" si="0"/>
        <v>105000</v>
      </c>
      <c r="H8" s="7">
        <f>G8*(1+Assumptions!$B$4)</f>
        <v>108150</v>
      </c>
      <c r="I8" s="7">
        <f>H8*(1+Assumptions!$B$4)</f>
        <v>111394.5</v>
      </c>
      <c r="J8" s="7">
        <f t="shared" si="1"/>
        <v>324544.5</v>
      </c>
    </row>
    <row r="9" spans="1:10" ht="52.7" customHeight="1">
      <c r="A9" s="1" t="s">
        <v>40</v>
      </c>
      <c r="B9" s="1" t="s">
        <v>41</v>
      </c>
      <c r="C9" s="1" t="s">
        <v>37</v>
      </c>
      <c r="D9" s="1" t="s">
        <v>43</v>
      </c>
      <c r="E9" s="12">
        <v>0.6</v>
      </c>
      <c r="F9" s="7">
        <v>95000</v>
      </c>
      <c r="G9" s="7">
        <f t="shared" si="0"/>
        <v>57000</v>
      </c>
      <c r="H9" s="7">
        <f>G9*(1+Assumptions!$B$4)</f>
        <v>58710</v>
      </c>
      <c r="I9" s="7">
        <f>H9*(1+Assumptions!$B$4)</f>
        <v>60471.3</v>
      </c>
      <c r="J9" s="7">
        <f t="shared" si="1"/>
        <v>176181.3</v>
      </c>
    </row>
    <row r="10" spans="1:10" ht="66" customHeight="1">
      <c r="A10" s="1" t="s">
        <v>40</v>
      </c>
      <c r="B10" s="1" t="s">
        <v>41</v>
      </c>
      <c r="C10" s="1" t="s">
        <v>37</v>
      </c>
      <c r="D10" s="1" t="s">
        <v>44</v>
      </c>
      <c r="E10" s="12">
        <v>0.5</v>
      </c>
      <c r="F10" s="7">
        <v>80000</v>
      </c>
      <c r="G10" s="7">
        <f t="shared" si="0"/>
        <v>40000</v>
      </c>
      <c r="H10" s="7">
        <f>G10*(1+Assumptions!$B$4)</f>
        <v>41200</v>
      </c>
      <c r="I10" s="7">
        <f>H10*(1+Assumptions!$B$4)</f>
        <v>42436</v>
      </c>
      <c r="J10" s="7">
        <f t="shared" si="1"/>
        <v>123636</v>
      </c>
    </row>
    <row r="11" spans="1:10" ht="79.150000000000006" customHeight="1">
      <c r="A11" s="1" t="s">
        <v>40</v>
      </c>
      <c r="B11" s="1" t="s">
        <v>41</v>
      </c>
      <c r="C11" s="1" t="s">
        <v>37</v>
      </c>
      <c r="D11" s="1" t="s">
        <v>45</v>
      </c>
      <c r="E11" s="12">
        <v>0.8</v>
      </c>
      <c r="F11" s="7">
        <v>115000</v>
      </c>
      <c r="G11" s="7">
        <f t="shared" si="0"/>
        <v>92000</v>
      </c>
      <c r="H11" s="7">
        <f>G11*(1+Assumptions!$B$4)</f>
        <v>94760</v>
      </c>
      <c r="I11" s="7">
        <f>H11*(1+Assumptions!$B$4)</f>
        <v>97602.8</v>
      </c>
      <c r="J11" s="7">
        <f t="shared" si="1"/>
        <v>284362.8</v>
      </c>
    </row>
    <row r="12" spans="1:10" ht="105.6" customHeight="1">
      <c r="A12" s="1" t="s">
        <v>40</v>
      </c>
      <c r="B12" s="1" t="s">
        <v>41</v>
      </c>
      <c r="C12" s="1" t="s">
        <v>37</v>
      </c>
      <c r="D12" s="1" t="s">
        <v>46</v>
      </c>
      <c r="E12" s="12">
        <v>1</v>
      </c>
      <c r="F12" s="7">
        <v>85000</v>
      </c>
      <c r="G12" s="7">
        <f t="shared" si="0"/>
        <v>85000</v>
      </c>
      <c r="H12" s="7">
        <f>G12*(1+Assumptions!$B$4)</f>
        <v>87550</v>
      </c>
      <c r="I12" s="7">
        <f>H12*(1+Assumptions!$B$4)</f>
        <v>90176.5</v>
      </c>
      <c r="J12" s="7">
        <f t="shared" si="1"/>
        <v>262726.5</v>
      </c>
    </row>
    <row r="13" spans="1:10" ht="66" customHeight="1">
      <c r="A13" s="1" t="s">
        <v>40</v>
      </c>
      <c r="B13" s="1" t="s">
        <v>41</v>
      </c>
      <c r="C13" s="1" t="s">
        <v>37</v>
      </c>
      <c r="D13" s="1" t="s">
        <v>47</v>
      </c>
      <c r="E13" s="12">
        <v>0.75</v>
      </c>
      <c r="F13" s="7">
        <v>80000</v>
      </c>
      <c r="G13" s="7">
        <f t="shared" si="0"/>
        <v>60000</v>
      </c>
      <c r="H13" s="7">
        <f>G13*(1+Assumptions!$B$4)</f>
        <v>61800</v>
      </c>
      <c r="I13" s="7">
        <f>H13*(1+Assumptions!$B$4)</f>
        <v>63654</v>
      </c>
      <c r="J13" s="7">
        <f t="shared" si="1"/>
        <v>185454</v>
      </c>
    </row>
    <row r="14" spans="1:10" ht="52.7" customHeight="1">
      <c r="A14" s="1" t="s">
        <v>40</v>
      </c>
      <c r="B14" s="1" t="s">
        <v>41</v>
      </c>
      <c r="C14" s="1" t="s">
        <v>37</v>
      </c>
      <c r="D14" s="1" t="s">
        <v>48</v>
      </c>
      <c r="E14" s="12">
        <v>0.5</v>
      </c>
      <c r="F14" s="7">
        <v>60000</v>
      </c>
      <c r="G14" s="7">
        <f t="shared" si="0"/>
        <v>30000</v>
      </c>
      <c r="H14" s="7">
        <f>G14*(1+Assumptions!$B$4)</f>
        <v>30900</v>
      </c>
      <c r="I14" s="7">
        <f>H14*(1+Assumptions!$B$4)</f>
        <v>31827</v>
      </c>
      <c r="J14" s="7">
        <f t="shared" si="1"/>
        <v>92727</v>
      </c>
    </row>
    <row r="15" spans="1:10" ht="39.6" customHeight="1">
      <c r="A15" s="3"/>
      <c r="B15" s="3" t="s">
        <v>49</v>
      </c>
      <c r="C15" s="3"/>
      <c r="D15" s="3" t="s">
        <v>50</v>
      </c>
      <c r="E15" s="13"/>
      <c r="F15" s="8"/>
      <c r="G15" s="8">
        <f>SUM(G6:G14)</f>
        <v>527000</v>
      </c>
      <c r="H15" s="8">
        <f>SUM(H6:H14)</f>
        <v>542810</v>
      </c>
      <c r="I15" s="8">
        <f>SUM(I6:I14)</f>
        <v>559094.30000000005</v>
      </c>
      <c r="J15" s="8">
        <f>SUM(J6:J14)</f>
        <v>1628904.3</v>
      </c>
    </row>
    <row r="16" spans="1:10" ht="26.45" customHeight="1">
      <c r="A16" s="6" t="s">
        <v>51</v>
      </c>
      <c r="B16" s="6" t="s">
        <v>8</v>
      </c>
      <c r="C16" s="6" t="s">
        <v>37</v>
      </c>
      <c r="D16" s="6" t="s">
        <v>8</v>
      </c>
      <c r="E16" s="14"/>
      <c r="F16" s="9" t="s">
        <v>52</v>
      </c>
      <c r="G16" s="9">
        <f>G15*Assumptions!$B$2</f>
        <v>131750</v>
      </c>
      <c r="H16" s="9">
        <f>H15*Assumptions!$B$2</f>
        <v>135702.5</v>
      </c>
      <c r="I16" s="9">
        <f>I15*Assumptions!$B$2</f>
        <v>139773.57500000001</v>
      </c>
      <c r="J16" s="9">
        <f>SUM(G16:I16)</f>
        <v>407226.07500000001</v>
      </c>
    </row>
    <row r="17" spans="1:10" ht="15" customHeight="1">
      <c r="A17" s="1"/>
      <c r="B17" s="1"/>
      <c r="C17" s="1"/>
      <c r="D17" s="1"/>
      <c r="E17" s="12"/>
      <c r="F17" s="7"/>
      <c r="G17" s="7"/>
      <c r="H17" s="7"/>
      <c r="I17" s="7"/>
      <c r="J17" s="7"/>
    </row>
    <row r="18" spans="1:10" ht="92.45" customHeight="1">
      <c r="A18" s="1" t="s">
        <v>53</v>
      </c>
      <c r="B18" s="1" t="s">
        <v>9</v>
      </c>
      <c r="C18" s="1" t="s">
        <v>37</v>
      </c>
      <c r="D18" s="1" t="s">
        <v>54</v>
      </c>
      <c r="E18" s="12"/>
      <c r="F18" s="7" t="s">
        <v>55</v>
      </c>
      <c r="G18" s="7">
        <v>20000</v>
      </c>
      <c r="H18" s="7">
        <v>20000</v>
      </c>
      <c r="I18" s="7">
        <v>20000</v>
      </c>
      <c r="J18" s="7">
        <f t="shared" ref="J18:J35" si="2">SUM(G18:I18)</f>
        <v>60000</v>
      </c>
    </row>
    <row r="19" spans="1:10" ht="79.150000000000006" customHeight="1">
      <c r="A19" s="1" t="s">
        <v>53</v>
      </c>
      <c r="B19" s="1" t="s">
        <v>9</v>
      </c>
      <c r="C19" s="1" t="s">
        <v>37</v>
      </c>
      <c r="D19" s="1" t="s">
        <v>56</v>
      </c>
      <c r="E19" s="12"/>
      <c r="F19" s="7" t="s">
        <v>57</v>
      </c>
      <c r="G19" s="7">
        <v>35000</v>
      </c>
      <c r="H19" s="7">
        <v>25000</v>
      </c>
      <c r="I19" s="7">
        <v>20000</v>
      </c>
      <c r="J19" s="7">
        <f t="shared" si="2"/>
        <v>80000</v>
      </c>
    </row>
    <row r="20" spans="1:10" ht="92.45" customHeight="1">
      <c r="A20" s="1" t="s">
        <v>53</v>
      </c>
      <c r="B20" s="1" t="s">
        <v>9</v>
      </c>
      <c r="C20" s="1" t="s">
        <v>37</v>
      </c>
      <c r="D20" s="1" t="s">
        <v>58</v>
      </c>
      <c r="E20" s="12"/>
      <c r="F20" s="7" t="s">
        <v>55</v>
      </c>
      <c r="G20" s="7">
        <v>25000</v>
      </c>
      <c r="H20" s="7">
        <v>20000</v>
      </c>
      <c r="I20" s="7">
        <v>15000</v>
      </c>
      <c r="J20" s="7">
        <f t="shared" si="2"/>
        <v>60000</v>
      </c>
    </row>
    <row r="21" spans="1:10" ht="92.45" customHeight="1">
      <c r="A21" s="1" t="s">
        <v>59</v>
      </c>
      <c r="B21" s="1" t="s">
        <v>10</v>
      </c>
      <c r="C21" s="1" t="s">
        <v>37</v>
      </c>
      <c r="D21" s="1" t="s">
        <v>60</v>
      </c>
      <c r="E21" s="1"/>
      <c r="F21" s="1" t="s">
        <v>61</v>
      </c>
      <c r="G21" s="7">
        <v>75000</v>
      </c>
      <c r="H21" s="7">
        <v>75000</v>
      </c>
      <c r="I21" s="7">
        <v>75000</v>
      </c>
      <c r="J21" s="7">
        <f t="shared" si="2"/>
        <v>225000</v>
      </c>
    </row>
    <row r="22" spans="1:10" ht="92.45" customHeight="1">
      <c r="A22" s="1" t="s">
        <v>62</v>
      </c>
      <c r="B22" s="1" t="s">
        <v>11</v>
      </c>
      <c r="C22" s="1" t="s">
        <v>37</v>
      </c>
      <c r="D22" s="1" t="s">
        <v>63</v>
      </c>
      <c r="E22" s="1"/>
      <c r="F22" s="1" t="s">
        <v>64</v>
      </c>
      <c r="G22" s="7">
        <v>75000</v>
      </c>
      <c r="H22" s="7">
        <v>0</v>
      </c>
      <c r="I22" s="7">
        <v>0</v>
      </c>
      <c r="J22" s="7">
        <f t="shared" si="2"/>
        <v>75000</v>
      </c>
    </row>
    <row r="23" spans="1:10" ht="105.6" customHeight="1">
      <c r="A23" s="1" t="s">
        <v>65</v>
      </c>
      <c r="B23" s="1" t="s">
        <v>12</v>
      </c>
      <c r="C23" s="1" t="s">
        <v>37</v>
      </c>
      <c r="D23" s="1" t="s">
        <v>66</v>
      </c>
      <c r="E23" s="1"/>
      <c r="F23" s="1" t="s">
        <v>67</v>
      </c>
      <c r="G23" s="7">
        <v>20000</v>
      </c>
      <c r="H23" s="7">
        <v>10000</v>
      </c>
      <c r="I23" s="7">
        <v>10000</v>
      </c>
      <c r="J23" s="7">
        <f t="shared" si="2"/>
        <v>40000</v>
      </c>
    </row>
    <row r="24" spans="1:10" ht="105.6" customHeight="1">
      <c r="A24" s="1" t="s">
        <v>68</v>
      </c>
      <c r="B24" s="1" t="s">
        <v>13</v>
      </c>
      <c r="C24" s="1" t="s">
        <v>37</v>
      </c>
      <c r="D24" s="1" t="s">
        <v>69</v>
      </c>
      <c r="E24" s="1"/>
      <c r="F24" s="1" t="s">
        <v>70</v>
      </c>
      <c r="G24" s="7">
        <v>20000</v>
      </c>
      <c r="H24" s="7">
        <v>30000</v>
      </c>
      <c r="I24" s="7">
        <v>30000</v>
      </c>
      <c r="J24" s="7">
        <f t="shared" si="2"/>
        <v>80000</v>
      </c>
    </row>
    <row r="25" spans="1:10" ht="79.150000000000006" customHeight="1">
      <c r="A25" s="1" t="s">
        <v>71</v>
      </c>
      <c r="B25" s="1" t="s">
        <v>14</v>
      </c>
      <c r="C25" s="1" t="s">
        <v>37</v>
      </c>
      <c r="D25" s="1" t="s">
        <v>72</v>
      </c>
      <c r="E25" s="1"/>
      <c r="F25" s="1" t="s">
        <v>73</v>
      </c>
      <c r="G25" s="7">
        <v>30000</v>
      </c>
      <c r="H25" s="7">
        <v>20000</v>
      </c>
      <c r="I25" s="7">
        <v>15000</v>
      </c>
      <c r="J25" s="7">
        <f t="shared" si="2"/>
        <v>65000</v>
      </c>
    </row>
    <row r="26" spans="1:10" ht="105.6" customHeight="1">
      <c r="A26" s="1" t="s">
        <v>71</v>
      </c>
      <c r="B26" s="1" t="s">
        <v>14</v>
      </c>
      <c r="C26" s="1" t="s">
        <v>37</v>
      </c>
      <c r="D26" s="1" t="s">
        <v>74</v>
      </c>
      <c r="E26" s="1"/>
      <c r="F26" s="1" t="s">
        <v>75</v>
      </c>
      <c r="G26" s="7">
        <v>35000</v>
      </c>
      <c r="H26" s="7">
        <v>25000</v>
      </c>
      <c r="I26" s="7">
        <v>20000</v>
      </c>
      <c r="J26" s="7">
        <f t="shared" si="2"/>
        <v>80000</v>
      </c>
    </row>
    <row r="27" spans="1:10" ht="105.6" customHeight="1">
      <c r="A27" s="1" t="s">
        <v>71</v>
      </c>
      <c r="B27" s="1" t="s">
        <v>14</v>
      </c>
      <c r="C27" s="1" t="s">
        <v>37</v>
      </c>
      <c r="D27" s="1" t="s">
        <v>76</v>
      </c>
      <c r="E27" s="1"/>
      <c r="F27" s="1" t="s">
        <v>77</v>
      </c>
      <c r="G27" s="7">
        <v>25000</v>
      </c>
      <c r="H27" s="7">
        <v>15000</v>
      </c>
      <c r="I27" s="7">
        <v>15000</v>
      </c>
      <c r="J27" s="7">
        <f t="shared" si="2"/>
        <v>55000</v>
      </c>
    </row>
    <row r="28" spans="1:10" ht="79.150000000000006" customHeight="1">
      <c r="A28" s="1" t="s">
        <v>78</v>
      </c>
      <c r="B28" s="1" t="s">
        <v>15</v>
      </c>
      <c r="C28" s="1" t="s">
        <v>37</v>
      </c>
      <c r="D28" s="1" t="s">
        <v>79</v>
      </c>
      <c r="E28" s="1"/>
      <c r="F28" s="1" t="s">
        <v>80</v>
      </c>
      <c r="G28" s="7">
        <v>180000</v>
      </c>
      <c r="H28" s="7">
        <v>130000</v>
      </c>
      <c r="I28" s="7">
        <v>110000</v>
      </c>
      <c r="J28" s="7">
        <f t="shared" si="2"/>
        <v>420000</v>
      </c>
    </row>
    <row r="29" spans="1:10" ht="79.150000000000006" customHeight="1">
      <c r="A29" s="1" t="s">
        <v>78</v>
      </c>
      <c r="B29" s="1" t="s">
        <v>15</v>
      </c>
      <c r="C29" s="1" t="s">
        <v>37</v>
      </c>
      <c r="D29" s="1" t="s">
        <v>81</v>
      </c>
      <c r="E29" s="1"/>
      <c r="F29" s="1" t="s">
        <v>82</v>
      </c>
      <c r="G29" s="7">
        <v>65000</v>
      </c>
      <c r="H29" s="7">
        <v>35000</v>
      </c>
      <c r="I29" s="7">
        <v>25000</v>
      </c>
      <c r="J29" s="7">
        <f t="shared" si="2"/>
        <v>125000</v>
      </c>
    </row>
    <row r="30" spans="1:10" ht="79.150000000000006" customHeight="1">
      <c r="A30" s="1" t="s">
        <v>78</v>
      </c>
      <c r="B30" s="1" t="s">
        <v>15</v>
      </c>
      <c r="C30" s="1" t="s">
        <v>37</v>
      </c>
      <c r="D30" s="1" t="s">
        <v>83</v>
      </c>
      <c r="E30" s="1"/>
      <c r="F30" s="1" t="s">
        <v>84</v>
      </c>
      <c r="G30" s="7">
        <v>40000</v>
      </c>
      <c r="H30" s="7">
        <v>25000</v>
      </c>
      <c r="I30" s="7">
        <v>20000</v>
      </c>
      <c r="J30" s="7">
        <f t="shared" si="2"/>
        <v>85000</v>
      </c>
    </row>
    <row r="31" spans="1:10" ht="79.150000000000006" customHeight="1">
      <c r="A31" s="1" t="s">
        <v>78</v>
      </c>
      <c r="B31" s="1" t="s">
        <v>15</v>
      </c>
      <c r="C31" s="1" t="s">
        <v>37</v>
      </c>
      <c r="D31" s="1" t="s">
        <v>85</v>
      </c>
      <c r="E31" s="1"/>
      <c r="F31" s="1" t="s">
        <v>86</v>
      </c>
      <c r="G31" s="7">
        <v>25000</v>
      </c>
      <c r="H31" s="7">
        <v>15000</v>
      </c>
      <c r="I31" s="7">
        <v>10000</v>
      </c>
      <c r="J31" s="7">
        <f t="shared" si="2"/>
        <v>50000</v>
      </c>
    </row>
    <row r="32" spans="1:10" ht="79.150000000000006" customHeight="1">
      <c r="A32" s="1" t="s">
        <v>78</v>
      </c>
      <c r="B32" s="1" t="s">
        <v>15</v>
      </c>
      <c r="C32" s="1" t="s">
        <v>37</v>
      </c>
      <c r="D32" s="1" t="s">
        <v>87</v>
      </c>
      <c r="E32" s="1"/>
      <c r="F32" s="1" t="s">
        <v>88</v>
      </c>
      <c r="G32" s="7">
        <v>35000</v>
      </c>
      <c r="H32" s="7">
        <v>15000</v>
      </c>
      <c r="I32" s="7">
        <v>15000</v>
      </c>
      <c r="J32" s="7">
        <f t="shared" si="2"/>
        <v>65000</v>
      </c>
    </row>
    <row r="33" spans="1:10" ht="105.6" customHeight="1">
      <c r="A33" s="1" t="s">
        <v>89</v>
      </c>
      <c r="B33" s="1" t="s">
        <v>16</v>
      </c>
      <c r="C33" s="1" t="s">
        <v>37</v>
      </c>
      <c r="D33" s="1" t="s">
        <v>90</v>
      </c>
      <c r="E33" s="1"/>
      <c r="F33" s="1" t="s">
        <v>91</v>
      </c>
      <c r="G33" s="7">
        <v>10000</v>
      </c>
      <c r="H33" s="7">
        <v>10000</v>
      </c>
      <c r="I33" s="7">
        <v>10000</v>
      </c>
      <c r="J33" s="7">
        <f t="shared" si="2"/>
        <v>30000</v>
      </c>
    </row>
    <row r="34" spans="1:10" ht="92.45" customHeight="1">
      <c r="A34" s="1" t="s">
        <v>89</v>
      </c>
      <c r="B34" s="1" t="s">
        <v>16</v>
      </c>
      <c r="C34" s="1" t="s">
        <v>37</v>
      </c>
      <c r="D34" s="1" t="s">
        <v>92</v>
      </c>
      <c r="E34" s="1"/>
      <c r="F34" s="1" t="s">
        <v>93</v>
      </c>
      <c r="G34" s="7">
        <v>10000</v>
      </c>
      <c r="H34" s="7">
        <v>10000</v>
      </c>
      <c r="I34" s="7">
        <v>10000</v>
      </c>
      <c r="J34" s="7">
        <f t="shared" si="2"/>
        <v>30000</v>
      </c>
    </row>
    <row r="35" spans="1:10" ht="105.6" customHeight="1">
      <c r="A35" s="1" t="s">
        <v>89</v>
      </c>
      <c r="B35" s="1" t="s">
        <v>16</v>
      </c>
      <c r="C35" s="1" t="s">
        <v>37</v>
      </c>
      <c r="D35" s="1" t="s">
        <v>94</v>
      </c>
      <c r="E35" s="1"/>
      <c r="F35" s="1" t="s">
        <v>95</v>
      </c>
      <c r="G35" s="7">
        <v>10000</v>
      </c>
      <c r="H35" s="7">
        <v>5000</v>
      </c>
      <c r="I35" s="7">
        <v>5000</v>
      </c>
      <c r="J35" s="7">
        <f t="shared" si="2"/>
        <v>20000</v>
      </c>
    </row>
    <row r="36" spans="1:10" ht="39.6" customHeight="1">
      <c r="A36" s="3"/>
      <c r="B36" s="3" t="s">
        <v>49</v>
      </c>
      <c r="C36" s="3"/>
      <c r="D36" s="3" t="s">
        <v>96</v>
      </c>
      <c r="E36" s="3"/>
      <c r="F36" s="3"/>
      <c r="G36" s="8">
        <f>SUM(G15:G16,G18:G35)</f>
        <v>1393750</v>
      </c>
      <c r="H36" s="8">
        <f>SUM(H15:H16,H18:H35)</f>
        <v>1163512.5</v>
      </c>
      <c r="I36" s="8">
        <f>SUM(I15:I16,I18:I35)</f>
        <v>1123867.875</v>
      </c>
      <c r="J36" s="8">
        <f>SUM(J15:J16,J18:J35)</f>
        <v>3681130.375</v>
      </c>
    </row>
    <row r="37" spans="1:10" ht="105.6" customHeight="1">
      <c r="A37" s="4"/>
      <c r="B37" s="4" t="s">
        <v>97</v>
      </c>
      <c r="C37" s="4"/>
      <c r="D37" s="4" t="s">
        <v>98</v>
      </c>
      <c r="E37" s="4"/>
      <c r="F37" s="4"/>
      <c r="G37" s="10">
        <f>G36-G21-G22</f>
        <v>1243750</v>
      </c>
      <c r="H37" s="10">
        <f>H36-H21-H22</f>
        <v>1088512.5</v>
      </c>
      <c r="I37" s="10">
        <f>I36-I21-I22</f>
        <v>1048867.875</v>
      </c>
      <c r="J37" s="10">
        <f>SUM(G37:I37)</f>
        <v>3381130.375</v>
      </c>
    </row>
    <row r="38" spans="1:10" ht="39.6" customHeight="1">
      <c r="A38" s="6" t="s">
        <v>99</v>
      </c>
      <c r="B38" s="6" t="s">
        <v>17</v>
      </c>
      <c r="C38" s="6" t="s">
        <v>37</v>
      </c>
      <c r="D38" s="6" t="s">
        <v>100</v>
      </c>
      <c r="E38" s="6"/>
      <c r="F38" s="6" t="s">
        <v>101</v>
      </c>
      <c r="G38" s="9">
        <f>G37*Assumptions!$B$3</f>
        <v>411681.25</v>
      </c>
      <c r="H38" s="9">
        <f>H37*Assumptions!$B$3</f>
        <v>360297.63750000001</v>
      </c>
      <c r="I38" s="9">
        <f>I37*Assumptions!$B$3</f>
        <v>347175.26662499999</v>
      </c>
      <c r="J38" s="9">
        <f>SUM(G38:I38)</f>
        <v>1119154.1541249999</v>
      </c>
    </row>
    <row r="39" spans="1:10" ht="39.6" customHeight="1">
      <c r="A39" s="5"/>
      <c r="B39" s="5" t="s">
        <v>6</v>
      </c>
      <c r="C39" s="5"/>
      <c r="D39" s="5" t="s">
        <v>102</v>
      </c>
      <c r="E39" s="5"/>
      <c r="F39" s="5"/>
      <c r="G39" s="11">
        <f>G36+G38</f>
        <v>1805431.25</v>
      </c>
      <c r="H39" s="11">
        <f>H36+H38</f>
        <v>1523810.1375</v>
      </c>
      <c r="I39" s="11">
        <f>I36+I38</f>
        <v>1471043.1416249999</v>
      </c>
      <c r="J39" s="11">
        <f>SUM(G39:I39)</f>
        <v>4800284.5291250004</v>
      </c>
    </row>
    <row r="40" spans="1:10" ht="15" customHeight="1">
      <c r="A40" s="1"/>
      <c r="B40" s="1"/>
      <c r="C40" s="1"/>
      <c r="D40" s="1"/>
      <c r="E40" s="1"/>
      <c r="F40" s="1"/>
      <c r="G40" s="7"/>
      <c r="H40" s="7"/>
      <c r="I40" s="7"/>
      <c r="J40" s="7"/>
    </row>
    <row r="41" spans="1:10" ht="264" customHeight="1">
      <c r="A41" s="1" t="s">
        <v>103</v>
      </c>
      <c r="B41" s="1"/>
      <c r="C41" s="1"/>
      <c r="D41" s="1" t="s">
        <v>104</v>
      </c>
      <c r="E41" s="1"/>
      <c r="F41" s="1"/>
      <c r="G41" s="7"/>
      <c r="H41" s="7"/>
      <c r="I41" s="7"/>
      <c r="J41" s="7"/>
    </row>
    <row r="42" spans="1:10" ht="290.45" customHeight="1">
      <c r="A42" s="1" t="s">
        <v>103</v>
      </c>
      <c r="B42" s="1"/>
      <c r="C42" s="1"/>
      <c r="D42" s="1" t="s">
        <v>105</v>
      </c>
      <c r="E42" s="1"/>
      <c r="F42" s="1"/>
      <c r="G42" s="7"/>
      <c r="H42" s="7"/>
      <c r="I42" s="7"/>
      <c r="J42" s="7"/>
    </row>
    <row r="43" spans="1:10" ht="15" customHeight="1">
      <c r="A43" s="1"/>
      <c r="B43" s="1"/>
      <c r="C43" s="1"/>
      <c r="D43" s="1"/>
      <c r="E43" s="1"/>
      <c r="F43" s="1"/>
      <c r="G43" s="7"/>
      <c r="H43" s="7"/>
      <c r="I43" s="7"/>
      <c r="J43" s="7"/>
    </row>
    <row r="44" spans="1:10" ht="15" customHeight="1">
      <c r="A44" s="1"/>
      <c r="B44" s="1"/>
      <c r="C44" s="1"/>
      <c r="D44" s="1"/>
      <c r="E44" s="1"/>
      <c r="F44" s="1"/>
      <c r="G44" s="7"/>
      <c r="H44" s="7"/>
      <c r="I44" s="7"/>
      <c r="J44" s="7"/>
    </row>
    <row r="45" spans="1:10" ht="15" customHeight="1">
      <c r="A45" s="1"/>
      <c r="B45" s="1"/>
      <c r="C45" s="1"/>
      <c r="D45" s="1"/>
      <c r="E45" s="1"/>
      <c r="F45" s="1"/>
      <c r="G45" s="7"/>
      <c r="H45" s="7"/>
      <c r="I45" s="7"/>
      <c r="J45" s="7"/>
    </row>
    <row r="46" spans="1:10" ht="15" customHeight="1">
      <c r="A46" s="1"/>
      <c r="B46" s="1"/>
      <c r="C46" s="1"/>
      <c r="D46" s="1"/>
      <c r="E46" s="1"/>
      <c r="F46" s="1"/>
      <c r="G46" s="7"/>
      <c r="H46" s="7"/>
      <c r="I46" s="7"/>
      <c r="J46" s="7"/>
    </row>
    <row r="47" spans="1:10" ht="15" customHeight="1">
      <c r="A47" s="1"/>
      <c r="B47" s="1"/>
      <c r="C47" s="1"/>
      <c r="D47" s="1"/>
      <c r="E47" s="1"/>
      <c r="F47" s="1"/>
      <c r="G47" s="7"/>
      <c r="H47" s="7"/>
      <c r="I47" s="7"/>
      <c r="J47" s="7"/>
    </row>
    <row r="48" spans="1:10" ht="15" customHeight="1">
      <c r="A48" s="1"/>
      <c r="B48" s="1"/>
      <c r="C48" s="1"/>
      <c r="D48" s="1"/>
      <c r="E48" s="1"/>
      <c r="F48" s="1"/>
      <c r="G48" s="7"/>
      <c r="H48" s="7"/>
      <c r="I48" s="7"/>
      <c r="J48" s="7"/>
    </row>
    <row r="49" spans="1:10" ht="15" customHeight="1">
      <c r="A49" s="1"/>
      <c r="B49" s="1"/>
      <c r="C49" s="1"/>
      <c r="D49" s="1"/>
      <c r="E49" s="1"/>
      <c r="F49" s="1"/>
      <c r="G49" s="7"/>
      <c r="H49" s="7"/>
      <c r="I49" s="7"/>
      <c r="J49" s="7"/>
    </row>
    <row r="50" spans="1:10" ht="15" customHeight="1">
      <c r="A50" s="1"/>
      <c r="B50" s="1"/>
      <c r="C50" s="1"/>
      <c r="D50" s="1"/>
      <c r="E50" s="1"/>
      <c r="F50" s="1"/>
      <c r="G50" s="7"/>
      <c r="H50" s="7"/>
      <c r="I50" s="7"/>
      <c r="J50" s="7"/>
    </row>
    <row r="51" spans="1:10" ht="15" customHeight="1">
      <c r="A51" s="1"/>
      <c r="B51" s="1"/>
      <c r="C51" s="1"/>
      <c r="D51" s="1"/>
      <c r="E51" s="1"/>
      <c r="F51" s="1"/>
      <c r="G51" s="7"/>
      <c r="H51" s="7"/>
      <c r="I51" s="7"/>
      <c r="J51" s="7"/>
    </row>
    <row r="52" spans="1:10" ht="15" customHeight="1">
      <c r="A52" s="1"/>
      <c r="B52" s="1"/>
      <c r="C52" s="1"/>
      <c r="D52" s="1"/>
      <c r="E52" s="1"/>
      <c r="F52" s="1"/>
      <c r="G52" s="7"/>
      <c r="H52" s="7"/>
      <c r="I52" s="7"/>
      <c r="J52" s="7"/>
    </row>
    <row r="53" spans="1:10" ht="15" customHeight="1">
      <c r="A53" s="1"/>
      <c r="B53" s="1"/>
      <c r="C53" s="1"/>
      <c r="D53" s="1"/>
      <c r="E53" s="1"/>
      <c r="F53" s="1"/>
      <c r="G53" s="7"/>
      <c r="H53" s="7"/>
      <c r="I53" s="7"/>
      <c r="J53" s="7"/>
    </row>
    <row r="54" spans="1:10" ht="15" customHeight="1">
      <c r="A54" s="1"/>
      <c r="B54" s="1"/>
      <c r="C54" s="1"/>
      <c r="D54" s="1"/>
      <c r="E54" s="1"/>
      <c r="F54" s="1"/>
      <c r="G54" s="7"/>
      <c r="H54" s="7"/>
      <c r="I54" s="7"/>
      <c r="J54" s="7"/>
    </row>
    <row r="55" spans="1:10" ht="15" customHeight="1">
      <c r="A55" s="1"/>
      <c r="B55" s="1"/>
      <c r="C55" s="1"/>
      <c r="D55" s="1"/>
      <c r="E55" s="1"/>
      <c r="F55" s="1"/>
      <c r="G55" s="7"/>
      <c r="H55" s="7"/>
      <c r="I55" s="7"/>
      <c r="J55" s="7"/>
    </row>
    <row r="56" spans="1:10" ht="15" customHeight="1">
      <c r="A56" s="1"/>
      <c r="B56" s="1"/>
      <c r="C56" s="1"/>
      <c r="D56" s="1"/>
      <c r="E56" s="1"/>
      <c r="F56" s="1"/>
      <c r="G56" s="7"/>
      <c r="H56" s="7"/>
      <c r="I56" s="7"/>
      <c r="J56" s="7"/>
    </row>
    <row r="57" spans="1:10" ht="15" customHeight="1">
      <c r="A57" s="1"/>
      <c r="B57" s="1"/>
      <c r="C57" s="1"/>
      <c r="D57" s="1"/>
      <c r="E57" s="1"/>
      <c r="F57" s="1"/>
      <c r="G57" s="7"/>
      <c r="H57" s="7"/>
      <c r="I57" s="7"/>
      <c r="J57" s="7"/>
    </row>
    <row r="58" spans="1:10" ht="15" customHeight="1">
      <c r="A58" s="1"/>
      <c r="B58" s="1"/>
      <c r="C58" s="1"/>
      <c r="D58" s="1"/>
      <c r="E58" s="1"/>
      <c r="F58" s="1"/>
      <c r="G58" s="7"/>
      <c r="H58" s="7"/>
      <c r="I58" s="7"/>
      <c r="J58" s="7"/>
    </row>
    <row r="59" spans="1:10" ht="15" customHeight="1">
      <c r="A59" s="1"/>
      <c r="B59" s="1"/>
      <c r="C59" s="1"/>
      <c r="D59" s="1"/>
      <c r="E59" s="1"/>
      <c r="F59" s="1"/>
      <c r="G59" s="7"/>
      <c r="H59" s="7"/>
      <c r="I59" s="7"/>
      <c r="J59" s="7"/>
    </row>
    <row r="60" spans="1:10" ht="15" customHeight="1">
      <c r="A60" s="1"/>
      <c r="B60" s="1"/>
      <c r="C60" s="1"/>
      <c r="D60" s="1"/>
      <c r="E60" s="1"/>
      <c r="F60" s="1"/>
      <c r="G60" s="7"/>
      <c r="H60" s="7"/>
      <c r="I60" s="7"/>
      <c r="J60" s="7"/>
    </row>
    <row r="61" spans="1:10" ht="15" customHeight="1">
      <c r="A61" s="1"/>
      <c r="B61" s="1"/>
      <c r="C61" s="1"/>
      <c r="D61" s="1"/>
      <c r="E61" s="1"/>
      <c r="F61" s="1"/>
      <c r="G61" s="7"/>
      <c r="H61" s="7"/>
      <c r="I61" s="7"/>
      <c r="J61" s="7"/>
    </row>
    <row r="62" spans="1:10" ht="15" customHeight="1">
      <c r="A62" s="1"/>
      <c r="B62" s="1"/>
      <c r="C62" s="1"/>
      <c r="D62" s="1"/>
      <c r="E62" s="1"/>
      <c r="F62" s="1"/>
      <c r="G62" s="7"/>
      <c r="H62" s="7"/>
      <c r="I62" s="7"/>
      <c r="J62" s="7"/>
    </row>
    <row r="63" spans="1:10" ht="15" customHeight="1">
      <c r="A63" s="1"/>
      <c r="B63" s="1"/>
      <c r="C63" s="1"/>
      <c r="D63" s="1"/>
      <c r="E63" s="1"/>
      <c r="F63" s="1"/>
      <c r="G63" s="7"/>
      <c r="H63" s="7"/>
      <c r="I63" s="7"/>
      <c r="J63" s="7"/>
    </row>
    <row r="64" spans="1:10" ht="15" customHeight="1">
      <c r="A64" s="1"/>
      <c r="B64" s="1"/>
      <c r="C64" s="1"/>
      <c r="D64" s="1"/>
      <c r="E64" s="1"/>
      <c r="F64" s="1"/>
      <c r="G64" s="7"/>
      <c r="H64" s="7"/>
      <c r="I64" s="7"/>
      <c r="J64" s="7"/>
    </row>
    <row r="65" spans="1:10" ht="15" customHeight="1">
      <c r="A65" s="1"/>
      <c r="B65" s="1"/>
      <c r="C65" s="1"/>
      <c r="D65" s="1"/>
      <c r="E65" s="1"/>
      <c r="F65" s="1"/>
      <c r="G65" s="7"/>
      <c r="H65" s="7"/>
      <c r="I65" s="7"/>
      <c r="J65" s="7"/>
    </row>
    <row r="66" spans="1:10" ht="15" customHeight="1">
      <c r="A66" s="1"/>
      <c r="B66" s="1"/>
      <c r="C66" s="1"/>
      <c r="D66" s="1"/>
      <c r="E66" s="1"/>
      <c r="F66" s="1"/>
      <c r="G66" s="7"/>
      <c r="H66" s="7"/>
      <c r="I66" s="7"/>
      <c r="J66" s="7"/>
    </row>
    <row r="67" spans="1:10" ht="15" customHeight="1">
      <c r="A67" s="1"/>
      <c r="B67" s="1"/>
      <c r="C67" s="1"/>
      <c r="D67" s="1"/>
      <c r="E67" s="1"/>
      <c r="F67" s="1"/>
      <c r="G67" s="7"/>
      <c r="H67" s="7"/>
      <c r="I67" s="7"/>
      <c r="J67" s="7"/>
    </row>
    <row r="68" spans="1:10" ht="15" customHeight="1">
      <c r="A68" s="1"/>
      <c r="B68" s="1"/>
      <c r="C68" s="1"/>
      <c r="D68" s="1"/>
      <c r="E68" s="1"/>
      <c r="F68" s="1"/>
      <c r="G68" s="7"/>
      <c r="H68" s="7"/>
      <c r="I68" s="7"/>
      <c r="J68" s="7"/>
    </row>
    <row r="69" spans="1:10" ht="15" customHeight="1">
      <c r="A69" s="1"/>
      <c r="B69" s="1"/>
      <c r="C69" s="1"/>
      <c r="D69" s="1"/>
      <c r="E69" s="1"/>
      <c r="F69" s="1"/>
      <c r="G69" s="7"/>
      <c r="H69" s="7"/>
      <c r="I69" s="7"/>
      <c r="J69" s="7"/>
    </row>
    <row r="70" spans="1:10" ht="15" customHeight="1">
      <c r="A70" s="1"/>
      <c r="B70" s="1"/>
      <c r="C70" s="1"/>
      <c r="D70" s="1"/>
      <c r="E70" s="1"/>
      <c r="F70" s="1"/>
      <c r="G70" s="7"/>
      <c r="H70" s="7"/>
      <c r="I70" s="7"/>
      <c r="J70" s="7"/>
    </row>
    <row r="71" spans="1:10" ht="15" customHeight="1">
      <c r="A71" s="1"/>
      <c r="B71" s="1"/>
      <c r="C71" s="1"/>
      <c r="D71" s="1"/>
      <c r="E71" s="1"/>
      <c r="F71" s="1"/>
      <c r="G71" s="7"/>
      <c r="H71" s="7"/>
      <c r="I71" s="7"/>
      <c r="J71" s="7"/>
    </row>
    <row r="72" spans="1:10" ht="15" customHeight="1">
      <c r="A72" s="1"/>
      <c r="B72" s="1"/>
      <c r="C72" s="1"/>
      <c r="D72" s="1"/>
      <c r="E72" s="1"/>
      <c r="F72" s="1"/>
      <c r="G72" s="7"/>
      <c r="H72" s="7"/>
      <c r="I72" s="7"/>
      <c r="J72" s="7"/>
    </row>
    <row r="73" spans="1:10" ht="15" customHeight="1">
      <c r="A73" s="1"/>
      <c r="B73" s="1"/>
      <c r="C73" s="1"/>
      <c r="D73" s="1"/>
      <c r="E73" s="1"/>
      <c r="F73" s="1"/>
      <c r="G73" s="7"/>
      <c r="H73" s="7"/>
      <c r="I73" s="7"/>
      <c r="J73" s="7"/>
    </row>
    <row r="74" spans="1:10" ht="15" customHeight="1">
      <c r="A74" s="1"/>
      <c r="B74" s="1"/>
      <c r="C74" s="1"/>
      <c r="D74" s="1"/>
      <c r="E74" s="1"/>
      <c r="F74" s="1"/>
      <c r="G74" s="7"/>
      <c r="H74" s="7"/>
      <c r="I74" s="7"/>
      <c r="J74" s="7"/>
    </row>
    <row r="75" spans="1:10" ht="15" customHeight="1">
      <c r="A75" s="1"/>
      <c r="B75" s="1"/>
      <c r="C75" s="1"/>
      <c r="D75" s="1"/>
      <c r="E75" s="1"/>
      <c r="F75" s="1"/>
      <c r="G75" s="7"/>
      <c r="H75" s="7"/>
      <c r="I75" s="7"/>
      <c r="J75" s="7"/>
    </row>
    <row r="76" spans="1:10" ht="15" customHeight="1">
      <c r="A76" s="1"/>
      <c r="B76" s="1"/>
      <c r="C76" s="1"/>
      <c r="D76" s="1"/>
      <c r="E76" s="1"/>
      <c r="F76" s="1"/>
      <c r="G76" s="7"/>
      <c r="H76" s="7"/>
      <c r="I76" s="7"/>
      <c r="J76" s="7"/>
    </row>
    <row r="77" spans="1:10" ht="15" customHeight="1">
      <c r="A77" s="1"/>
      <c r="B77" s="1"/>
      <c r="C77" s="1"/>
      <c r="D77" s="1"/>
      <c r="E77" s="1"/>
      <c r="F77" s="1"/>
      <c r="G77" s="7"/>
      <c r="H77" s="7"/>
      <c r="I77" s="7"/>
      <c r="J77" s="7"/>
    </row>
    <row r="78" spans="1:10" ht="15" customHeight="1">
      <c r="A78" s="1"/>
      <c r="B78" s="1"/>
      <c r="C78" s="1"/>
      <c r="D78" s="1"/>
      <c r="E78" s="1"/>
      <c r="F78" s="1"/>
      <c r="G78" s="7"/>
      <c r="H78" s="7"/>
      <c r="I78" s="7"/>
      <c r="J78" s="7"/>
    </row>
    <row r="79" spans="1:10" ht="15" customHeight="1">
      <c r="A79" s="1"/>
      <c r="B79" s="1"/>
      <c r="C79" s="1"/>
      <c r="D79" s="1"/>
      <c r="E79" s="1"/>
      <c r="F79" s="1"/>
      <c r="G79" s="7"/>
      <c r="H79" s="7"/>
      <c r="I79" s="7"/>
      <c r="J79" s="7"/>
    </row>
    <row r="80" spans="1:10" ht="15" customHeight="1">
      <c r="A80" s="1"/>
      <c r="B80" s="1"/>
      <c r="C80" s="1"/>
      <c r="D80" s="1"/>
      <c r="E80" s="1"/>
      <c r="F80" s="1"/>
      <c r="G80" s="7"/>
      <c r="H80" s="7"/>
      <c r="I80" s="7"/>
      <c r="J80" s="7"/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"/>
  <sheetViews>
    <sheetView workbookViewId="0"/>
  </sheetViews>
  <sheetFormatPr defaultRowHeight="14.25"/>
  <cols>
    <col min="1" max="1" width="32" customWidth="1"/>
    <col min="2" max="2" width="18" customWidth="1"/>
    <col min="3" max="3" width="56" customWidth="1"/>
  </cols>
  <sheetData>
    <row r="1" spans="1:10" ht="15">
      <c r="A1" s="2" t="s">
        <v>106</v>
      </c>
      <c r="B1" s="2" t="s">
        <v>107</v>
      </c>
      <c r="C1" s="2" t="s">
        <v>108</v>
      </c>
      <c r="D1" s="1"/>
      <c r="E1" s="1"/>
      <c r="F1" s="1"/>
      <c r="G1" s="1"/>
      <c r="H1" s="1"/>
      <c r="I1" s="1"/>
      <c r="J1" s="1"/>
    </row>
    <row r="2" spans="1:10" ht="28.5">
      <c r="A2" s="1" t="s">
        <v>109</v>
      </c>
      <c r="B2" s="16">
        <v>0.25</v>
      </c>
      <c r="C2" s="1" t="s">
        <v>110</v>
      </c>
      <c r="D2" s="1"/>
      <c r="E2" s="1"/>
      <c r="F2" s="1"/>
      <c r="G2" s="1"/>
      <c r="H2" s="1"/>
      <c r="I2" s="1"/>
      <c r="J2" s="1"/>
    </row>
    <row r="3" spans="1:10" ht="28.5">
      <c r="A3" s="1" t="s">
        <v>111</v>
      </c>
      <c r="B3" s="16">
        <v>0.33100000000000002</v>
      </c>
      <c r="C3" s="1" t="s">
        <v>112</v>
      </c>
      <c r="D3" s="1"/>
      <c r="E3" s="1"/>
      <c r="F3" s="1"/>
      <c r="G3" s="1"/>
      <c r="H3" s="1"/>
      <c r="I3" s="1"/>
      <c r="J3" s="1"/>
    </row>
    <row r="4" spans="1:10">
      <c r="A4" s="1" t="s">
        <v>113</v>
      </c>
      <c r="B4" s="16">
        <v>0.03</v>
      </c>
      <c r="C4" s="1" t="s">
        <v>114</v>
      </c>
      <c r="D4" s="1"/>
      <c r="E4" s="1"/>
      <c r="F4" s="1"/>
      <c r="G4" s="1"/>
      <c r="H4" s="1"/>
      <c r="I4" s="1"/>
      <c r="J4" s="1"/>
    </row>
    <row r="5" spans="1:10">
      <c r="A5" s="1" t="s">
        <v>21</v>
      </c>
      <c r="B5" s="7">
        <v>3950000</v>
      </c>
      <c r="C5" s="1" t="s">
        <v>115</v>
      </c>
      <c r="D5" s="1"/>
      <c r="E5" s="1"/>
      <c r="F5" s="1"/>
      <c r="G5" s="1"/>
      <c r="H5" s="1"/>
      <c r="I5" s="1"/>
      <c r="J5" s="1"/>
    </row>
    <row r="6" spans="1:10">
      <c r="A6" s="1" t="s">
        <v>116</v>
      </c>
      <c r="B6" s="7">
        <v>9000000</v>
      </c>
      <c r="C6" s="1" t="s">
        <v>117</v>
      </c>
      <c r="D6" s="1"/>
      <c r="E6" s="1"/>
      <c r="F6" s="1"/>
      <c r="G6" s="1"/>
      <c r="H6" s="1"/>
      <c r="I6" s="1"/>
      <c r="J6" s="1"/>
    </row>
    <row r="7" spans="1:10">
      <c r="A7" s="1" t="s">
        <v>118</v>
      </c>
      <c r="B7" s="1" t="s">
        <v>119</v>
      </c>
      <c r="C7" s="1" t="s">
        <v>120</v>
      </c>
      <c r="D7" s="1"/>
      <c r="E7" s="1"/>
      <c r="F7" s="1"/>
      <c r="G7" s="1"/>
      <c r="H7" s="1"/>
      <c r="I7" s="1"/>
      <c r="J7" s="1"/>
    </row>
    <row r="8" spans="1:10">
      <c r="A8" s="1" t="s">
        <v>121</v>
      </c>
      <c r="B8" s="1" t="s">
        <v>119</v>
      </c>
      <c r="C8" s="1" t="s">
        <v>120</v>
      </c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0"/>
  <sheetViews>
    <sheetView workbookViewId="0"/>
  </sheetViews>
  <sheetFormatPr defaultRowHeight="14.25"/>
  <cols>
    <col min="1" max="1" width="36" customWidth="1"/>
    <col min="2" max="2" width="34" customWidth="1"/>
    <col min="3" max="6" width="14" customWidth="1"/>
    <col min="7" max="7" width="58" customWidth="1"/>
  </cols>
  <sheetData>
    <row r="1" spans="1:10" ht="15">
      <c r="A1" s="17" t="s">
        <v>122</v>
      </c>
      <c r="B1" s="18" t="s">
        <v>122</v>
      </c>
      <c r="C1" s="18" t="s">
        <v>122</v>
      </c>
      <c r="D1" s="18" t="s">
        <v>122</v>
      </c>
      <c r="E1" s="18" t="s">
        <v>122</v>
      </c>
      <c r="F1" s="18" t="s">
        <v>122</v>
      </c>
      <c r="G1" s="18" t="s">
        <v>122</v>
      </c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123</v>
      </c>
      <c r="B3" s="2" t="s">
        <v>124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125</v>
      </c>
      <c r="H3" s="1"/>
      <c r="I3" s="1"/>
      <c r="J3" s="1"/>
    </row>
    <row r="4" spans="1:10" ht="42.75">
      <c r="A4" s="1" t="s">
        <v>126</v>
      </c>
      <c r="B4" s="1" t="s">
        <v>127</v>
      </c>
      <c r="C4" s="7">
        <f>SUM('AAIP Budget'!G6:G10)+'AAIP Budget'!G35</f>
        <v>270000</v>
      </c>
      <c r="D4" s="7">
        <f>SUM('AAIP Budget'!H6:H10)+'AAIP Budget'!H35</f>
        <v>272800</v>
      </c>
      <c r="E4" s="7">
        <f>SUM('AAIP Budget'!I6:I10)+'AAIP Budget'!I35</f>
        <v>280834</v>
      </c>
      <c r="F4" s="7">
        <f t="shared" ref="F4:F10" si="0">SUM(C4:E4)</f>
        <v>823634</v>
      </c>
      <c r="G4" s="1" t="s">
        <v>128</v>
      </c>
      <c r="H4" s="1"/>
      <c r="I4" s="1"/>
      <c r="J4" s="1"/>
    </row>
    <row r="5" spans="1:10" ht="42.75">
      <c r="A5" s="1" t="s">
        <v>129</v>
      </c>
      <c r="B5" s="1" t="s">
        <v>130</v>
      </c>
      <c r="C5" s="7">
        <f>SUM('AAIP Budget'!G11:G12)+'AAIP Budget'!G20+'AAIP Budget'!G25</f>
        <v>232000</v>
      </c>
      <c r="D5" s="7">
        <f>SUM('AAIP Budget'!H11:H12)+'AAIP Budget'!H20+'AAIP Budget'!H25</f>
        <v>222310</v>
      </c>
      <c r="E5" s="7">
        <f>SUM('AAIP Budget'!I11:I12)+'AAIP Budget'!I20+'AAIP Budget'!I25</f>
        <v>217779.3</v>
      </c>
      <c r="F5" s="7">
        <f t="shared" si="0"/>
        <v>672089.3</v>
      </c>
      <c r="G5" s="1" t="s">
        <v>131</v>
      </c>
      <c r="H5" s="1"/>
      <c r="I5" s="1"/>
      <c r="J5" s="1"/>
    </row>
    <row r="6" spans="1:10" ht="42.75">
      <c r="A6" s="1" t="s">
        <v>132</v>
      </c>
      <c r="B6" s="1" t="s">
        <v>133</v>
      </c>
      <c r="C6" s="7">
        <f>SUM('AAIP Budget'!G13:G14)+SUM('AAIP Budget'!G18:G19)+'AAIP Budget'!G21+'AAIP Budget'!G24</f>
        <v>240000</v>
      </c>
      <c r="D6" s="7">
        <f>SUM('AAIP Budget'!H13:H14)+SUM('AAIP Budget'!H18:H19)+'AAIP Budget'!H21+'AAIP Budget'!H24</f>
        <v>242700</v>
      </c>
      <c r="E6" s="7">
        <f>SUM('AAIP Budget'!I13:I14)+SUM('AAIP Budget'!I18:I19)+'AAIP Budget'!I21+'AAIP Budget'!I24</f>
        <v>240481</v>
      </c>
      <c r="F6" s="7">
        <f t="shared" si="0"/>
        <v>723181</v>
      </c>
      <c r="G6" s="1" t="s">
        <v>134</v>
      </c>
      <c r="H6" s="1"/>
      <c r="I6" s="1"/>
      <c r="J6" s="1"/>
    </row>
    <row r="7" spans="1:10" ht="42.75">
      <c r="A7" s="1" t="s">
        <v>135</v>
      </c>
      <c r="B7" s="1" t="s">
        <v>136</v>
      </c>
      <c r="C7" s="7">
        <f>'AAIP Budget'!G22+SUM('AAIP Budget'!G28:G32)</f>
        <v>420000</v>
      </c>
      <c r="D7" s="7">
        <f>'AAIP Budget'!H22+SUM('AAIP Budget'!H28:H32)</f>
        <v>220000</v>
      </c>
      <c r="E7" s="7">
        <f>'AAIP Budget'!I22+SUM('AAIP Budget'!I28:I32)</f>
        <v>180000</v>
      </c>
      <c r="F7" s="7">
        <f t="shared" si="0"/>
        <v>820000</v>
      </c>
      <c r="G7" s="1" t="s">
        <v>137</v>
      </c>
      <c r="H7" s="1"/>
      <c r="I7" s="1"/>
      <c r="J7" s="1"/>
    </row>
    <row r="8" spans="1:10" ht="28.5">
      <c r="A8" s="1" t="s">
        <v>138</v>
      </c>
      <c r="B8" s="1" t="s">
        <v>139</v>
      </c>
      <c r="C8" s="7">
        <f>SUM('AAIP Budget'!G26:G27)</f>
        <v>60000</v>
      </c>
      <c r="D8" s="7">
        <f>SUM('AAIP Budget'!H26:H27)</f>
        <v>40000</v>
      </c>
      <c r="E8" s="7">
        <f>SUM('AAIP Budget'!I26:I27)</f>
        <v>35000</v>
      </c>
      <c r="F8" s="7">
        <f t="shared" si="0"/>
        <v>135000</v>
      </c>
      <c r="G8" s="1" t="s">
        <v>140</v>
      </c>
      <c r="H8" s="1"/>
      <c r="I8" s="1"/>
      <c r="J8" s="1"/>
    </row>
    <row r="9" spans="1:10" ht="28.5">
      <c r="A9" s="1" t="s">
        <v>141</v>
      </c>
      <c r="B9" s="1" t="s">
        <v>142</v>
      </c>
      <c r="C9" s="7">
        <f>'AAIP Budget'!G23+'AAIP Budget'!G33+'AAIP Budget'!G34</f>
        <v>40000</v>
      </c>
      <c r="D9" s="7">
        <f>'AAIP Budget'!H23+'AAIP Budget'!H33+'AAIP Budget'!H34</f>
        <v>30000</v>
      </c>
      <c r="E9" s="7">
        <f>'AAIP Budget'!I23+'AAIP Budget'!I33+'AAIP Budget'!I34</f>
        <v>30000</v>
      </c>
      <c r="F9" s="7">
        <f t="shared" si="0"/>
        <v>100000</v>
      </c>
      <c r="G9" s="1" t="s">
        <v>143</v>
      </c>
      <c r="H9" s="1"/>
      <c r="I9" s="1"/>
      <c r="J9" s="1"/>
    </row>
    <row r="10" spans="1:10" ht="28.5">
      <c r="A10" s="1" t="s">
        <v>17</v>
      </c>
      <c r="B10" s="1" t="s">
        <v>144</v>
      </c>
      <c r="C10" s="7">
        <f>'AAIP Budget'!G38</f>
        <v>411681.25</v>
      </c>
      <c r="D10" s="7">
        <f>'AAIP Budget'!H38</f>
        <v>360297.63750000001</v>
      </c>
      <c r="E10" s="7">
        <f>'AAIP Budget'!I38</f>
        <v>347175.26662499999</v>
      </c>
      <c r="F10" s="7">
        <f t="shared" si="0"/>
        <v>1119154.1541249999</v>
      </c>
      <c r="G10" s="1" t="s">
        <v>145</v>
      </c>
      <c r="H10" s="1"/>
      <c r="I10" s="1"/>
      <c r="J10" s="1"/>
    </row>
    <row r="11" spans="1:10">
      <c r="A11" s="1"/>
      <c r="B11" s="1"/>
      <c r="C11" s="7"/>
      <c r="D11" s="7"/>
      <c r="E11" s="7"/>
      <c r="F11" s="7"/>
      <c r="G11" s="1"/>
      <c r="H11" s="1"/>
      <c r="I11" s="1"/>
      <c r="J11" s="1"/>
    </row>
    <row r="12" spans="1:10" ht="15">
      <c r="A12" s="5" t="s">
        <v>146</v>
      </c>
      <c r="B12" s="5"/>
      <c r="C12" s="11">
        <f>SUM(C4:C10)</f>
        <v>1673681.25</v>
      </c>
      <c r="D12" s="11">
        <f>SUM(D4:D10)</f>
        <v>1388107.6375</v>
      </c>
      <c r="E12" s="11">
        <f>SUM(E4:E10)</f>
        <v>1331269.566625</v>
      </c>
      <c r="F12" s="11">
        <f>SUM(F4:F10)</f>
        <v>4393058.4541250002</v>
      </c>
      <c r="G12" s="5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AAIP Budget</vt:lpstr>
      <vt:lpstr>Assumptions</vt:lpstr>
      <vt:lpstr>Cost Estimate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S</cp:lastModifiedBy>
  <dcterms:created xsi:type="dcterms:W3CDTF">2026-06-07T06:27:11Z</dcterms:created>
  <dcterms:modified xsi:type="dcterms:W3CDTF">2026-06-07T06:27:11Z</dcterms:modified>
</cp:coreProperties>
</file>
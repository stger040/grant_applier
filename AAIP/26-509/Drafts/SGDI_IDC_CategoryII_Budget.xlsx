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tger\Downloads\Grants\AAIP\26-509\Drafts\"/>
    </mc:Choice>
  </mc:AlternateContent>
  <xr:revisionPtr revIDLastSave="0" documentId="8_{3DA92B5B-883D-4D1D-84E0-A42E88FFBF98}" xr6:coauthVersionLast="47" xr6:coauthVersionMax="47" xr10:uidLastSave="{00000000-0000-0000-0000-000000000000}"/>
  <bookViews>
    <workbookView xWindow="2250" yWindow="2250" windowWidth="21600" windowHeight="11295" activeTab="1" xr2:uid="{00000000-000D-0000-FFFF-FFFF00000000}"/>
  </bookViews>
  <sheets>
    <sheet name="Summary" sheetId="1" r:id="rId1"/>
    <sheet name="SGDI Budget" sheetId="2" r:id="rId2"/>
    <sheet name="Assumptions" sheetId="3" r:id="rId3"/>
    <sheet name="Cost Estimate View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4" l="1"/>
  <c r="D9" i="4"/>
  <c r="C9" i="4"/>
  <c r="F9" i="4" s="1"/>
  <c r="E8" i="4"/>
  <c r="D8" i="4"/>
  <c r="C8" i="4"/>
  <c r="F8" i="4" s="1"/>
  <c r="E7" i="4"/>
  <c r="D7" i="4"/>
  <c r="C7" i="4"/>
  <c r="F7" i="4" s="1"/>
  <c r="E6" i="4"/>
  <c r="D6" i="4"/>
  <c r="C6" i="4"/>
  <c r="F6" i="4" s="1"/>
  <c r="E5" i="4"/>
  <c r="D5" i="4"/>
  <c r="C5" i="4"/>
  <c r="F5" i="4" s="1"/>
  <c r="J30" i="2"/>
  <c r="J29" i="2"/>
  <c r="J28" i="2"/>
  <c r="J27" i="2"/>
  <c r="J26" i="2"/>
  <c r="J25" i="2"/>
  <c r="J24" i="2"/>
  <c r="J23" i="2"/>
  <c r="J22" i="2"/>
  <c r="J21" i="2"/>
  <c r="J20" i="2"/>
  <c r="J19" i="2"/>
  <c r="G15" i="2"/>
  <c r="G14" i="2"/>
  <c r="G13" i="2"/>
  <c r="G12" i="2"/>
  <c r="G11" i="2"/>
  <c r="G10" i="2"/>
  <c r="G9" i="2"/>
  <c r="H9" i="2" s="1"/>
  <c r="I9" i="2" s="1"/>
  <c r="G8" i="2"/>
  <c r="G7" i="2"/>
  <c r="G6" i="2"/>
  <c r="G16" i="2" s="1"/>
  <c r="C6" i="1"/>
  <c r="B6" i="1" s="1"/>
  <c r="G17" i="2" l="1"/>
  <c r="J9" i="2"/>
  <c r="H10" i="2"/>
  <c r="I10" i="2" s="1"/>
  <c r="H11" i="2"/>
  <c r="I11" i="2" s="1"/>
  <c r="H12" i="2"/>
  <c r="I12" i="2" s="1"/>
  <c r="H13" i="2"/>
  <c r="I13" i="2" s="1"/>
  <c r="H6" i="2"/>
  <c r="H14" i="2"/>
  <c r="I14" i="2" s="1"/>
  <c r="H7" i="2"/>
  <c r="I7" i="2" s="1"/>
  <c r="H15" i="2"/>
  <c r="I15" i="2" s="1"/>
  <c r="H8" i="2"/>
  <c r="I8" i="2" s="1"/>
  <c r="H16" i="2" l="1"/>
  <c r="I6" i="2"/>
  <c r="G31" i="2"/>
  <c r="J13" i="2"/>
  <c r="J10" i="2"/>
  <c r="J8" i="2"/>
  <c r="J7" i="2"/>
  <c r="C4" i="4"/>
  <c r="J15" i="2"/>
  <c r="J14" i="2"/>
  <c r="J12" i="2"/>
  <c r="J11" i="2"/>
  <c r="I16" i="2" l="1"/>
  <c r="J6" i="2"/>
  <c r="J16" i="2" s="1"/>
  <c r="H17" i="2"/>
  <c r="G32" i="2"/>
  <c r="B13" i="1"/>
  <c r="H31" i="2" l="1"/>
  <c r="G33" i="2"/>
  <c r="D4" i="4"/>
  <c r="E4" i="4"/>
  <c r="I17" i="2"/>
  <c r="J17" i="2" s="1"/>
  <c r="J31" i="2" s="1"/>
  <c r="I31" i="2" l="1"/>
  <c r="F4" i="4"/>
  <c r="H32" i="2"/>
  <c r="B14" i="1"/>
  <c r="C10" i="4"/>
  <c r="C13" i="1"/>
  <c r="G34" i="2"/>
  <c r="C11" i="4" l="1"/>
  <c r="I32" i="2"/>
  <c r="I33" i="2" s="1"/>
  <c r="B15" i="1"/>
  <c r="D13" i="1"/>
  <c r="H33" i="2"/>
  <c r="J32" i="2"/>
  <c r="D10" i="4" l="1"/>
  <c r="C14" i="1"/>
  <c r="H34" i="2"/>
  <c r="J33" i="2"/>
  <c r="E10" i="4"/>
  <c r="E11" i="4" s="1"/>
  <c r="C15" i="1"/>
  <c r="I34" i="2"/>
  <c r="D15" i="1" s="1"/>
  <c r="D14" i="1" l="1"/>
  <c r="J34" i="2"/>
  <c r="C5" i="1" s="1"/>
  <c r="B5" i="1" s="1"/>
  <c r="D11" i="4"/>
  <c r="F10" i="4"/>
  <c r="F11" i="4" s="1"/>
  <c r="C7" i="1" l="1"/>
  <c r="B7" i="1" s="1"/>
  <c r="C10" i="1" l="1"/>
  <c r="B10" i="1" s="1"/>
  <c r="C9" i="1"/>
  <c r="B9" i="1" s="1"/>
  <c r="C8" i="1"/>
  <c r="B8" i="1" s="1"/>
</calcChain>
</file>

<file path=xl/sharedStrings.xml><?xml version="1.0" encoding="utf-8"?>
<sst xmlns="http://schemas.openxmlformats.org/spreadsheetml/2006/main" count="214" uniqueCount="139">
  <si>
    <t>SGDI Technical Operations Subaward Budget Summary</t>
  </si>
  <si>
    <t>NSF 26-509 Category II: Indigenous Data Commons</t>
  </si>
  <si>
    <t>Metric</t>
  </si>
  <si>
    <t>Amount / Percent</t>
  </si>
  <si>
    <t>Formula / Source</t>
  </si>
  <si>
    <t>Notes</t>
  </si>
  <si>
    <t>SGDI Subaward Budget Total</t>
  </si>
  <si>
    <t>Technical operations subaward planning total.</t>
  </si>
  <si>
    <t>AAIP Budget Placeholder</t>
  </si>
  <si>
    <t>AAIP lead organization budget from AAIP planning workbook.</t>
  </si>
  <si>
    <t>Total Project Planning Amount</t>
  </si>
  <si>
    <t>AAIP + SGDI planning total.</t>
  </si>
  <si>
    <t>SGDI Share of Total</t>
  </si>
  <si>
    <t>SGDI technical subaward share.</t>
  </si>
  <si>
    <t>AAIP Share of Total</t>
  </si>
  <si>
    <t>AAIP lead organization share.</t>
  </si>
  <si>
    <t>Amount Under NSF Category II Cap</t>
  </si>
  <si>
    <t>Planning margin below $9M cap.</t>
  </si>
  <si>
    <t>Year</t>
  </si>
  <si>
    <t>SGDI Direct Costs</t>
  </si>
  <si>
    <t>SGDI Indirect Costs</t>
  </si>
  <si>
    <t>SGDI Total</t>
  </si>
  <si>
    <t>Primary Focus</t>
  </si>
  <si>
    <t>Year 1</t>
  </si>
  <si>
    <t>Transition to operations, early data pipelines, AI/MCP service operationalization, onboarding support</t>
  </si>
  <si>
    <t>Year 2</t>
  </si>
  <si>
    <t>National scale-up, expanded data connectors, dashboards, training, user support</t>
  </si>
  <si>
    <t>Year 3</t>
  </si>
  <si>
    <t>Mature operations, optimization, evaluation, documentation, sustainability planning</t>
  </si>
  <si>
    <t>SGDI Technical Operations Subaward Budget Planning Worksheet</t>
  </si>
  <si>
    <t>Planning Target: SGDI technical personnel, AI/MCP services, data engineering, analytics, evaluation, documentation, and technical user support. Major production infrastructure held by AAIP.</t>
  </si>
  <si>
    <t>NSF Line</t>
  </si>
  <si>
    <t>Budget Category</t>
  </si>
  <si>
    <t>Budget Holder</t>
  </si>
  <si>
    <t>Item / Role</t>
  </si>
  <si>
    <t>FTE / Qty</t>
  </si>
  <si>
    <t>Rate / Assumption</t>
  </si>
  <si>
    <t>Total</t>
  </si>
  <si>
    <t>A</t>
  </si>
  <si>
    <t>Senior Personnel</t>
  </si>
  <si>
    <t>SGDI</t>
  </si>
  <si>
    <t>Technical Director / IDC Architect</t>
  </si>
  <si>
    <t>B</t>
  </si>
  <si>
    <t>Other Personnel</t>
  </si>
  <si>
    <t>Technical Project Manager / Data Operations Lead</t>
  </si>
  <si>
    <t>Data Engineer</t>
  </si>
  <si>
    <t>Data Scientist / Analytics Lead</t>
  </si>
  <si>
    <t>AI / MCP Services Engineer</t>
  </si>
  <si>
    <t>Evaluation Director</t>
  </si>
  <si>
    <t>User Support &amp; Training Specialist</t>
  </si>
  <si>
    <t>Database / Cloud Support Specialist</t>
  </si>
  <si>
    <t>Technical Writer / Documentation Specialist</t>
  </si>
  <si>
    <t>Grant Reporting &amp; Analytics Specialist</t>
  </si>
  <si>
    <t>Subtotal</t>
  </si>
  <si>
    <t>Total Salaries &amp; Wages</t>
  </si>
  <si>
    <t>C</t>
  </si>
  <si>
    <t>Fringe Benefits</t>
  </si>
  <si>
    <t>Assumptions!B2</t>
  </si>
  <si>
    <t>E</t>
  </si>
  <si>
    <t>Travel</t>
  </si>
  <si>
    <t>NSF PI meeting / major cyberinfrastructure conference</t>
  </si>
  <si>
    <t>Domestic travel</t>
  </si>
  <si>
    <t>Technical onboarding and implementation travel</t>
  </si>
  <si>
    <t>Partner implementation support</t>
  </si>
  <si>
    <t>Training workshops / partner technical support travel</t>
  </si>
  <si>
    <t>Training and technical assistance</t>
  </si>
  <si>
    <t>D</t>
  </si>
  <si>
    <t>Equipment</t>
  </si>
  <si>
    <t>Limited development, security, and testing equipment</t>
  </si>
  <si>
    <t>Special-purpose project equipment</t>
  </si>
  <si>
    <t>G.1</t>
  </si>
  <si>
    <t>Materials &amp; Supplies</t>
  </si>
  <si>
    <t>Project-specific technical supplies and training materials</t>
  </si>
  <si>
    <t>Supplies below equipment threshold</t>
  </si>
  <si>
    <t>G.2</t>
  </si>
  <si>
    <t>Publication/Documentation/Dissemination</t>
  </si>
  <si>
    <t>Technical documentation, workflow guides, and dissemination</t>
  </si>
  <si>
    <t>Documentation and dissemination</t>
  </si>
  <si>
    <t>G.3</t>
  </si>
  <si>
    <t>Consultant Services</t>
  </si>
  <si>
    <t>Specialized security, AI, and architecture review</t>
  </si>
  <si>
    <t>Targeted expert review</t>
  </si>
  <si>
    <t>UX, accessibility, and data governance technical consultants</t>
  </si>
  <si>
    <t>Targeted implementation review</t>
  </si>
  <si>
    <t>G.4</t>
  </si>
  <si>
    <t>Computer Services</t>
  </si>
  <si>
    <t>Development/test cloud and sandbox services</t>
  </si>
  <si>
    <t>Development and test environments</t>
  </si>
  <si>
    <t>Software, developer tools, and data quality tooling</t>
  </si>
  <si>
    <t>Technical tools and services</t>
  </si>
  <si>
    <t>Security testing and code review support</t>
  </si>
  <si>
    <t>Testing and review services</t>
  </si>
  <si>
    <t>G.6</t>
  </si>
  <si>
    <t>Other Direct Costs</t>
  </si>
  <si>
    <t>QA/testing, documentation platforms, and technical collaboration services</t>
  </si>
  <si>
    <t>Technical operations support</t>
  </si>
  <si>
    <t>Total Direct Costs</t>
  </si>
  <si>
    <t>Indirect Base</t>
  </si>
  <si>
    <t>Provisional Indirect Base (Direct Costs less Equipment)</t>
  </si>
  <si>
    <t>I</t>
  </si>
  <si>
    <t>Indirect Costs</t>
  </si>
  <si>
    <t>Indirect / Overhead Costs</t>
  </si>
  <si>
    <t>Assumptions!B3</t>
  </si>
  <si>
    <t>Note</t>
  </si>
  <si>
    <t>Major production infrastructure contracts, cloud services, cybersecurity services, identity/access systems, and lead-recipient operations are assumed to be managed by AAIP. SGDI budget includes technical personnel and development/test services needed to perform the subaward scope.</t>
  </si>
  <si>
    <t>Final amounts should be revised after AAIP subrecipient review, SGDI payroll/fringe verification, and confirmation of allowable indirect/overhead treatment.</t>
  </si>
  <si>
    <t>Assumption</t>
  </si>
  <si>
    <t>Value</t>
  </si>
  <si>
    <t>SGDI Fringe Rate</t>
  </si>
  <si>
    <t>Planning assumption; replace with SGDI actual fringe methodology.</t>
  </si>
  <si>
    <t>SGDI Indirect / Overhead Rate</t>
  </si>
  <si>
    <t>Planning assumption; final rate subject to AAIP subrecipient review and applicable requirements.</t>
  </si>
  <si>
    <t>Annual Salary Escalation</t>
  </si>
  <si>
    <t>Planning assumption for Year 2 and Year 3 salaries.</t>
  </si>
  <si>
    <t>AAIP lead budget from AAIP planning workbook; update after AAIP finalizes budget.</t>
  </si>
  <si>
    <t>NSF Category II Cap</t>
  </si>
  <si>
    <t>NSF 26-509 Category II maximum total project amount.</t>
  </si>
  <si>
    <t>SGDI Target Range</t>
  </si>
  <si>
    <t>Planning target for SGDI technical operations subaward.</t>
  </si>
  <si>
    <t>Production Infrastructure Holder</t>
  </si>
  <si>
    <t>AAIP</t>
  </si>
  <si>
    <t>Major production cloud, cybersecurity, identity, and infrastructure contracts are assumed to be held by AAIP.</t>
  </si>
  <si>
    <t>SGDI Detailed Cost Estimate View by Budget Area</t>
  </si>
  <si>
    <t>Work Area</t>
  </si>
  <si>
    <t>Lead Entity</t>
  </si>
  <si>
    <t>Personnel &amp; Fringe</t>
  </si>
  <si>
    <t>Technical staffing and fringe for data engineering, AI/MCP services, analytics, evaluation, support, and documentation.</t>
  </si>
  <si>
    <t>Travel &amp; Technical Onboarding</t>
  </si>
  <si>
    <t>NSF/cyberinfrastructure meetings, partner technical onboarding, training, and implementation travel.</t>
  </si>
  <si>
    <t>Limited development, security, and testing equipment.</t>
  </si>
  <si>
    <t>Supplies, Documentation, and Dissemination</t>
  </si>
  <si>
    <t>Technical supplies, project documentation, workflow guides, dissemination, QA/testing and collaboration services.</t>
  </si>
  <si>
    <t>Consultants and Security Review</t>
  </si>
  <si>
    <t>Specialized security, AI, architecture, UX, accessibility, and data governance technical review.</t>
  </si>
  <si>
    <t>Computer Services and Technical Tools</t>
  </si>
  <si>
    <t>Development/test cloud, sandbox services, software, developer tools, and data quality tooling.</t>
  </si>
  <si>
    <t>Indirect / Overhead</t>
  </si>
  <si>
    <t>Provisional subaward indirect/overhead estimate.</t>
  </si>
  <si>
    <t>Should match SGDI Subaward Budget Total.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</si>
</sst>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$#,##0"/>
  </numFmts>
  <fonts count="7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2"/>
      <color rgb="FFFFFFFF"/>
      <name val="Carlito"/>
    </font>
    <font>
      <i/>
      <sz val="11"/>
      <name val="Carlito"/>
    </font>
    <font>
      <b/>
      <sz val="11"/>
      <name val="Carlito"/>
    </font>
    <font>
      <b/>
      <sz val="11"/>
      <color rgb="FF00000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5B9BD5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4" fillId="4" borderId="0" xfId="0" applyFont="1" applyFill="1" applyAlignment="1">
      <alignment wrapText="1"/>
    </xf>
    <xf numFmtId="0" fontId="5" fillId="5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2" fontId="0" fillId="0" borderId="0" xfId="0" applyNumberFormat="1"/>
    <xf numFmtId="165" fontId="5" fillId="5" borderId="0" xfId="0" applyNumberFormat="1" applyFont="1" applyFill="1" applyAlignment="1">
      <alignment horizontal="left" vertical="center"/>
    </xf>
    <xf numFmtId="165" fontId="5" fillId="6" borderId="0" xfId="0" applyNumberFormat="1" applyFont="1" applyFill="1" applyAlignment="1">
      <alignment horizontal="left" vertical="center"/>
    </xf>
    <xf numFmtId="0" fontId="6" fillId="7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 wrapText="1"/>
    </xf>
    <xf numFmtId="0" fontId="4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1282091.5</c:v>
              </c:pt>
            </c:numLit>
          </c:val>
          <c:extLst>
            <c:ext xmlns:c16="http://schemas.microsoft.com/office/drawing/2014/chart" uri="{C3380CC4-5D6E-409C-BE32-E72D297353CC}">
              <c16:uniqueId val="{00000000-2AF8-4F8B-BE79-CD5562829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8</xdr:col>
      <xdr:colOff>0</xdr:colOff>
      <xdr:row>16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SGDISummaryYearTable" displayName="SGDISummaryYearTable" ref="A12:E15">
  <tableColumns count="5">
    <tableColumn id="1" xr3:uid="{00000000-0010-0000-0000-000001000000}" name="Year"/>
    <tableColumn id="2" xr3:uid="{00000000-0010-0000-0000-000002000000}" name="SGDI Direct Costs"/>
    <tableColumn id="3" xr3:uid="{00000000-0010-0000-0000-000003000000}" name="SGDI Indirect Costs"/>
    <tableColumn id="4" xr3:uid="{00000000-0010-0000-0000-000004000000}" name="SGDI Total"/>
    <tableColumn id="5" xr3:uid="{00000000-0010-0000-0000-000005000000}" name="Primary Foc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SGDIBudgetTable" displayName="SGDIBudgetTable" ref="A5:J34">
  <tableColumns count="10">
    <tableColumn id="1" xr3:uid="{00000000-0010-0000-0100-000001000000}" name="NSF Line"/>
    <tableColumn id="2" xr3:uid="{00000000-0010-0000-0100-000002000000}" name="Budget Category"/>
    <tableColumn id="3" xr3:uid="{00000000-0010-0000-0100-000003000000}" name="Budget Holder"/>
    <tableColumn id="4" xr3:uid="{00000000-0010-0000-0100-000004000000}" name="Item / Role"/>
    <tableColumn id="5" xr3:uid="{00000000-0010-0000-0100-000005000000}" name="FTE / Qty"/>
    <tableColumn id="6" xr3:uid="{00000000-0010-0000-0100-000006000000}" name="Rate / Assumption"/>
    <tableColumn id="7" xr3:uid="{00000000-0010-0000-0100-000007000000}" name="Year 1"/>
    <tableColumn id="8" xr3:uid="{00000000-0010-0000-0100-000008000000}" name="Year 2"/>
    <tableColumn id="9" xr3:uid="{00000000-0010-0000-0100-000009000000}" name="Year 3"/>
    <tableColumn id="10" xr3:uid="{00000000-0010-0000-0100-00000A000000}" name="Tot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SGDICostEstimateTable" displayName="SGDICostEstimateTable" ref="A3:G11">
  <tableColumns count="7">
    <tableColumn id="1" xr3:uid="{00000000-0010-0000-0200-000001000000}" name="Work Area"/>
    <tableColumn id="2" xr3:uid="{00000000-0010-0000-0200-000002000000}" name="Lead Entity"/>
    <tableColumn id="3" xr3:uid="{00000000-0010-0000-0200-000003000000}" name="Year 1"/>
    <tableColumn id="4" xr3:uid="{00000000-0010-0000-0200-000004000000}" name="Year 2"/>
    <tableColumn id="5" xr3:uid="{00000000-0010-0000-0200-000005000000}" name="Year 3"/>
    <tableColumn id="6" xr3:uid="{00000000-0010-0000-0200-000006000000}" name="Total"/>
    <tableColumn id="7" xr3:uid="{00000000-0010-0000-0200-000007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workbookViewId="0"/>
  </sheetViews>
  <sheetFormatPr defaultRowHeight="14.25"/>
  <cols>
    <col min="1" max="1" width="34" customWidth="1"/>
    <col min="2" max="2" width="18" customWidth="1"/>
    <col min="3" max="3" width="22" customWidth="1"/>
    <col min="4" max="4" width="70" customWidth="1"/>
    <col min="5" max="5" width="80" customWidth="1"/>
  </cols>
  <sheetData>
    <row r="1" spans="1:8" ht="24" customHeight="1">
      <c r="A1" s="14" t="s">
        <v>0</v>
      </c>
      <c r="B1" s="14"/>
      <c r="C1" s="14"/>
      <c r="D1" s="14"/>
      <c r="E1" s="15"/>
      <c r="F1" s="15"/>
      <c r="G1" s="15"/>
      <c r="H1" s="15"/>
    </row>
    <row r="2" spans="1:8" ht="15.75">
      <c r="A2" s="16" t="s">
        <v>1</v>
      </c>
      <c r="B2" s="16"/>
      <c r="C2" s="16"/>
      <c r="D2" s="16"/>
      <c r="E2" s="16"/>
      <c r="F2" s="16"/>
      <c r="G2" s="16"/>
      <c r="H2" s="16"/>
    </row>
    <row r="4" spans="1:8" ht="15">
      <c r="A4" s="1" t="s">
        <v>2</v>
      </c>
      <c r="B4" s="1" t="s">
        <v>3</v>
      </c>
      <c r="C4" s="1" t="s">
        <v>4</v>
      </c>
      <c r="D4" s="1" t="s">
        <v>5</v>
      </c>
    </row>
    <row r="5" spans="1:8" ht="15">
      <c r="A5" s="13" t="s">
        <v>6</v>
      </c>
      <c r="B5" s="3">
        <f t="shared" ref="B5:B10" si="0">C5</f>
        <v>3949891.5873499997</v>
      </c>
      <c r="C5" s="3">
        <f>'SGDI Budget'!J34</f>
        <v>3949891.5873499997</v>
      </c>
      <c r="D5" t="s">
        <v>7</v>
      </c>
    </row>
    <row r="6" spans="1:8" ht="15">
      <c r="A6" s="13" t="s">
        <v>8</v>
      </c>
      <c r="B6" s="3">
        <f t="shared" si="0"/>
        <v>4800285</v>
      </c>
      <c r="C6" s="3">
        <f>Assumptions!B5</f>
        <v>4800285</v>
      </c>
      <c r="D6" t="s">
        <v>9</v>
      </c>
    </row>
    <row r="7" spans="1:8" ht="15">
      <c r="A7" s="13" t="s">
        <v>10</v>
      </c>
      <c r="B7" s="3">
        <f t="shared" si="0"/>
        <v>8750176.5873499997</v>
      </c>
      <c r="C7" s="3">
        <f>B5+B6</f>
        <v>8750176.5873499997</v>
      </c>
      <c r="D7" t="s">
        <v>11</v>
      </c>
    </row>
    <row r="8" spans="1:8" ht="15">
      <c r="A8" s="13" t="s">
        <v>12</v>
      </c>
      <c r="B8" s="2">
        <f t="shared" si="0"/>
        <v>0.45140707137959929</v>
      </c>
      <c r="C8" s="2">
        <f>B5/B7</f>
        <v>0.45140707137959929</v>
      </c>
      <c r="D8" t="s">
        <v>13</v>
      </c>
    </row>
    <row r="9" spans="1:8" ht="15">
      <c r="A9" s="13" t="s">
        <v>14</v>
      </c>
      <c r="B9" s="2">
        <f t="shared" si="0"/>
        <v>0.54859292862040077</v>
      </c>
      <c r="C9" s="2">
        <f>B6/B7</f>
        <v>0.54859292862040077</v>
      </c>
      <c r="D9" t="s">
        <v>15</v>
      </c>
    </row>
    <row r="10" spans="1:8" ht="15">
      <c r="A10" s="13" t="s">
        <v>16</v>
      </c>
      <c r="B10" s="3">
        <f t="shared" si="0"/>
        <v>249823.4126500003</v>
      </c>
      <c r="C10" s="3">
        <f>Assumptions!B6-B7</f>
        <v>249823.4126500003</v>
      </c>
      <c r="D10" t="s">
        <v>17</v>
      </c>
    </row>
    <row r="12" spans="1:8" ht="15">
      <c r="A12" s="1" t="s">
        <v>18</v>
      </c>
      <c r="B12" s="1" t="s">
        <v>19</v>
      </c>
      <c r="C12" s="1" t="s">
        <v>20</v>
      </c>
      <c r="D12" s="1" t="s">
        <v>21</v>
      </c>
      <c r="E12" s="1" t="s">
        <v>22</v>
      </c>
    </row>
    <row r="13" spans="1:8" ht="28.5">
      <c r="A13" t="s">
        <v>23</v>
      </c>
      <c r="B13" s="3">
        <f>'SGDI Budget'!G31</f>
        <v>1168265</v>
      </c>
      <c r="C13" s="3">
        <f>'SGDI Budget'!G33</f>
        <v>113826.5</v>
      </c>
      <c r="D13" s="3">
        <f>'SGDI Budget'!G34</f>
        <v>1282091.5</v>
      </c>
      <c r="E13" s="4" t="s">
        <v>24</v>
      </c>
    </row>
    <row r="14" spans="1:8">
      <c r="A14" t="s">
        <v>25</v>
      </c>
      <c r="B14" s="3">
        <f>'SGDI Budget'!H31</f>
        <v>1201502.95</v>
      </c>
      <c r="C14" s="3">
        <f>'SGDI Budget'!H33</f>
        <v>119150.295</v>
      </c>
      <c r="D14" s="3">
        <f>'SGDI Budget'!H34</f>
        <v>1320653.2449999999</v>
      </c>
      <c r="E14" s="4" t="s">
        <v>26</v>
      </c>
    </row>
    <row r="15" spans="1:8">
      <c r="A15" t="s">
        <v>27</v>
      </c>
      <c r="B15" s="3">
        <f>'SGDI Budget'!I31</f>
        <v>1225588.0384999998</v>
      </c>
      <c r="C15" s="3">
        <f>'SGDI Budget'!I33</f>
        <v>121558.80384999998</v>
      </c>
      <c r="D15" s="3">
        <f>'SGDI Budget'!I34</f>
        <v>1347146.8423499998</v>
      </c>
      <c r="E15" s="4" t="s">
        <v>28</v>
      </c>
    </row>
  </sheetData>
  <mergeCells count="2">
    <mergeCell ref="A1:H1"/>
    <mergeCell ref="A2:H2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7"/>
  <sheetViews>
    <sheetView tabSelected="1" topLeftCell="A3" workbookViewId="0">
      <selection sqref="A1:J1"/>
    </sheetView>
  </sheetViews>
  <sheetFormatPr defaultRowHeight="14.25"/>
  <cols>
    <col min="1" max="1" width="12" customWidth="1"/>
    <col min="2" max="2" width="24" customWidth="1"/>
    <col min="3" max="3" width="16" customWidth="1"/>
    <col min="4" max="4" width="44" customWidth="1"/>
    <col min="5" max="5" width="12" customWidth="1"/>
    <col min="6" max="6" width="26" customWidth="1"/>
    <col min="7" max="10" width="14" customWidth="1"/>
  </cols>
  <sheetData>
    <row r="1" spans="1:10" ht="24" customHeight="1">
      <c r="A1" s="14" t="s">
        <v>1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5.75">
      <c r="A2" s="16" t="s">
        <v>29</v>
      </c>
      <c r="B2" s="16"/>
      <c r="C2" s="16"/>
      <c r="D2" s="16"/>
      <c r="E2" s="16"/>
      <c r="F2" s="16"/>
      <c r="G2" s="16"/>
      <c r="H2" s="16"/>
      <c r="I2" s="16"/>
      <c r="J2" s="16"/>
    </row>
    <row r="3" spans="1:10">
      <c r="A3" s="17" t="s">
        <v>30</v>
      </c>
      <c r="B3" s="17"/>
      <c r="C3" s="17"/>
      <c r="D3" s="17"/>
      <c r="E3" s="17"/>
      <c r="F3" s="17"/>
      <c r="G3" s="17"/>
      <c r="H3" s="17"/>
      <c r="I3" s="17"/>
      <c r="J3" s="17"/>
    </row>
    <row r="5" spans="1:10" ht="15">
      <c r="A5" s="1" t="s">
        <v>31</v>
      </c>
      <c r="B5" s="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1" t="s">
        <v>23</v>
      </c>
      <c r="H5" s="1" t="s">
        <v>25</v>
      </c>
      <c r="I5" s="1" t="s">
        <v>27</v>
      </c>
      <c r="J5" s="1" t="s">
        <v>37</v>
      </c>
    </row>
    <row r="6" spans="1:10">
      <c r="A6" t="s">
        <v>38</v>
      </c>
      <c r="B6" t="s">
        <v>39</v>
      </c>
      <c r="C6" t="s">
        <v>40</v>
      </c>
      <c r="D6" t="s">
        <v>41</v>
      </c>
      <c r="E6" s="10">
        <v>0.5</v>
      </c>
      <c r="F6" s="3">
        <v>190000</v>
      </c>
      <c r="G6" s="3">
        <f t="shared" ref="G6:G15" si="0">E6*F6</f>
        <v>95000</v>
      </c>
      <c r="H6" s="3">
        <f>G6*(1+Assumptions!$B$4)</f>
        <v>97850</v>
      </c>
      <c r="I6" s="3">
        <f>H6*(1+Assumptions!$B$4)</f>
        <v>100785.5</v>
      </c>
      <c r="J6" s="3">
        <f t="shared" ref="J6:J15" si="1">SUM(G6:I6)</f>
        <v>293635.5</v>
      </c>
    </row>
    <row r="7" spans="1:10">
      <c r="A7" t="s">
        <v>42</v>
      </c>
      <c r="B7" t="s">
        <v>43</v>
      </c>
      <c r="C7" t="s">
        <v>40</v>
      </c>
      <c r="D7" t="s">
        <v>44</v>
      </c>
      <c r="E7" s="10">
        <v>0.6</v>
      </c>
      <c r="F7" s="3">
        <v>115000</v>
      </c>
      <c r="G7" s="3">
        <f t="shared" si="0"/>
        <v>69000</v>
      </c>
      <c r="H7" s="3">
        <f>G7*(1+Assumptions!$B$4)</f>
        <v>71070</v>
      </c>
      <c r="I7" s="3">
        <f>H7*(1+Assumptions!$B$4)</f>
        <v>73202.100000000006</v>
      </c>
      <c r="J7" s="3">
        <f t="shared" si="1"/>
        <v>213272.1</v>
      </c>
    </row>
    <row r="8" spans="1:10">
      <c r="A8" t="s">
        <v>42</v>
      </c>
      <c r="B8" t="s">
        <v>43</v>
      </c>
      <c r="C8" t="s">
        <v>40</v>
      </c>
      <c r="D8" t="s">
        <v>45</v>
      </c>
      <c r="E8" s="10">
        <v>1</v>
      </c>
      <c r="F8" s="3">
        <v>130000</v>
      </c>
      <c r="G8" s="3">
        <f t="shared" si="0"/>
        <v>130000</v>
      </c>
      <c r="H8" s="3">
        <f>G8*(1+Assumptions!$B$4)</f>
        <v>133900</v>
      </c>
      <c r="I8" s="3">
        <f>H8*(1+Assumptions!$B$4)</f>
        <v>137917</v>
      </c>
      <c r="J8" s="3">
        <f t="shared" si="1"/>
        <v>401817</v>
      </c>
    </row>
    <row r="9" spans="1:10">
      <c r="A9" t="s">
        <v>42</v>
      </c>
      <c r="B9" t="s">
        <v>43</v>
      </c>
      <c r="C9" t="s">
        <v>40</v>
      </c>
      <c r="D9" t="s">
        <v>46</v>
      </c>
      <c r="E9" s="10">
        <v>0.8</v>
      </c>
      <c r="F9" s="3">
        <v>125000</v>
      </c>
      <c r="G9" s="3">
        <f t="shared" si="0"/>
        <v>100000</v>
      </c>
      <c r="H9" s="3">
        <f>G9*(1+Assumptions!$B$4)</f>
        <v>103000</v>
      </c>
      <c r="I9" s="3">
        <f>H9*(1+Assumptions!$B$4)</f>
        <v>106090</v>
      </c>
      <c r="J9" s="3">
        <f t="shared" si="1"/>
        <v>309090</v>
      </c>
    </row>
    <row r="10" spans="1:10">
      <c r="A10" t="s">
        <v>42</v>
      </c>
      <c r="B10" t="s">
        <v>43</v>
      </c>
      <c r="C10" t="s">
        <v>40</v>
      </c>
      <c r="D10" t="s">
        <v>47</v>
      </c>
      <c r="E10" s="10">
        <v>1</v>
      </c>
      <c r="F10" s="3">
        <v>145000</v>
      </c>
      <c r="G10" s="3">
        <f t="shared" si="0"/>
        <v>145000</v>
      </c>
      <c r="H10" s="3">
        <f>G10*(1+Assumptions!$B$4)</f>
        <v>149350</v>
      </c>
      <c r="I10" s="3">
        <f>H10*(1+Assumptions!$B$4)</f>
        <v>153830.5</v>
      </c>
      <c r="J10" s="3">
        <f t="shared" si="1"/>
        <v>448180.5</v>
      </c>
    </row>
    <row r="11" spans="1:10">
      <c r="A11" t="s">
        <v>42</v>
      </c>
      <c r="B11" t="s">
        <v>43</v>
      </c>
      <c r="C11" t="s">
        <v>40</v>
      </c>
      <c r="D11" t="s">
        <v>48</v>
      </c>
      <c r="E11" s="10">
        <v>0.5</v>
      </c>
      <c r="F11" s="3">
        <v>120000</v>
      </c>
      <c r="G11" s="3">
        <f t="shared" si="0"/>
        <v>60000</v>
      </c>
      <c r="H11" s="3">
        <f>G11*(1+Assumptions!$B$4)</f>
        <v>61800</v>
      </c>
      <c r="I11" s="3">
        <f>H11*(1+Assumptions!$B$4)</f>
        <v>63654</v>
      </c>
      <c r="J11" s="3">
        <f t="shared" si="1"/>
        <v>185454</v>
      </c>
    </row>
    <row r="12" spans="1:10">
      <c r="A12" t="s">
        <v>42</v>
      </c>
      <c r="B12" t="s">
        <v>43</v>
      </c>
      <c r="C12" t="s">
        <v>40</v>
      </c>
      <c r="D12" t="s">
        <v>49</v>
      </c>
      <c r="E12" s="10">
        <v>0.9</v>
      </c>
      <c r="F12" s="3">
        <v>85000</v>
      </c>
      <c r="G12" s="3">
        <f t="shared" si="0"/>
        <v>76500</v>
      </c>
      <c r="H12" s="3">
        <f>G12*(1+Assumptions!$B$4)</f>
        <v>78795</v>
      </c>
      <c r="I12" s="3">
        <f>H12*(1+Assumptions!$B$4)</f>
        <v>81158.850000000006</v>
      </c>
      <c r="J12" s="3">
        <f t="shared" si="1"/>
        <v>236453.85</v>
      </c>
    </row>
    <row r="13" spans="1:10">
      <c r="A13" t="s">
        <v>42</v>
      </c>
      <c r="B13" t="s">
        <v>43</v>
      </c>
      <c r="C13" t="s">
        <v>40</v>
      </c>
      <c r="D13" t="s">
        <v>50</v>
      </c>
      <c r="E13" s="10">
        <v>0.5</v>
      </c>
      <c r="F13" s="3">
        <v>130000</v>
      </c>
      <c r="G13" s="3">
        <f t="shared" si="0"/>
        <v>65000</v>
      </c>
      <c r="H13" s="3">
        <f>G13*(1+Assumptions!$B$4)</f>
        <v>66950</v>
      </c>
      <c r="I13" s="3">
        <f>H13*(1+Assumptions!$B$4)</f>
        <v>68958.5</v>
      </c>
      <c r="J13" s="3">
        <f t="shared" si="1"/>
        <v>200908.5</v>
      </c>
    </row>
    <row r="14" spans="1:10">
      <c r="A14" t="s">
        <v>42</v>
      </c>
      <c r="B14" t="s">
        <v>43</v>
      </c>
      <c r="C14" t="s">
        <v>40</v>
      </c>
      <c r="D14" t="s">
        <v>51</v>
      </c>
      <c r="E14" s="10">
        <v>0.35</v>
      </c>
      <c r="F14" s="3">
        <v>80000</v>
      </c>
      <c r="G14" s="3">
        <f t="shared" si="0"/>
        <v>28000</v>
      </c>
      <c r="H14" s="3">
        <f>G14*(1+Assumptions!$B$4)</f>
        <v>28840</v>
      </c>
      <c r="I14" s="3">
        <f>H14*(1+Assumptions!$B$4)</f>
        <v>29705.200000000001</v>
      </c>
      <c r="J14" s="3">
        <f t="shared" si="1"/>
        <v>86545.2</v>
      </c>
    </row>
    <row r="15" spans="1:10">
      <c r="A15" t="s">
        <v>42</v>
      </c>
      <c r="B15" t="s">
        <v>43</v>
      </c>
      <c r="C15" t="s">
        <v>40</v>
      </c>
      <c r="D15" t="s">
        <v>52</v>
      </c>
      <c r="E15" s="10">
        <v>0.4</v>
      </c>
      <c r="F15" s="3">
        <v>90000</v>
      </c>
      <c r="G15" s="3">
        <f t="shared" si="0"/>
        <v>36000</v>
      </c>
      <c r="H15" s="3">
        <f>G15*(1+Assumptions!$B$4)</f>
        <v>37080</v>
      </c>
      <c r="I15" s="3">
        <f>H15*(1+Assumptions!$B$4)</f>
        <v>38192.400000000001</v>
      </c>
      <c r="J15" s="3">
        <f t="shared" si="1"/>
        <v>111272.4</v>
      </c>
    </row>
    <row r="16" spans="1:10" ht="15">
      <c r="A16" s="8"/>
      <c r="B16" s="8" t="s">
        <v>53</v>
      </c>
      <c r="C16" s="8"/>
      <c r="D16" s="8" t="s">
        <v>54</v>
      </c>
      <c r="E16" s="8"/>
      <c r="F16" s="8"/>
      <c r="G16" s="11">
        <f>SUM(G6:G15)</f>
        <v>804500</v>
      </c>
      <c r="H16" s="11">
        <f>SUM(H6:H15)</f>
        <v>828635</v>
      </c>
      <c r="I16" s="11">
        <f>SUM(I6:I15)</f>
        <v>853494.04999999993</v>
      </c>
      <c r="J16" s="11">
        <f>SUM(J6:J15)</f>
        <v>2486629.0500000003</v>
      </c>
    </row>
    <row r="17" spans="1:10">
      <c r="A17" t="s">
        <v>55</v>
      </c>
      <c r="B17" t="s">
        <v>56</v>
      </c>
      <c r="C17" t="s">
        <v>40</v>
      </c>
      <c r="D17" t="s">
        <v>56</v>
      </c>
      <c r="F17" t="s">
        <v>57</v>
      </c>
      <c r="G17" s="3">
        <f>G16*Assumptions!$B$2</f>
        <v>136765</v>
      </c>
      <c r="H17" s="3">
        <f>H16*Assumptions!$B$2</f>
        <v>140867.95000000001</v>
      </c>
      <c r="I17" s="3">
        <f>I16*Assumptions!$B$2</f>
        <v>145093.98850000001</v>
      </c>
      <c r="J17" s="3">
        <f>SUM(G17:I17)</f>
        <v>422726.93850000005</v>
      </c>
    </row>
    <row r="18" spans="1:10">
      <c r="G18" s="3"/>
      <c r="H18" s="3"/>
      <c r="I18" s="3"/>
      <c r="J18" s="3"/>
    </row>
    <row r="19" spans="1:10">
      <c r="A19" t="s">
        <v>58</v>
      </c>
      <c r="B19" t="s">
        <v>59</v>
      </c>
      <c r="C19" t="s">
        <v>40</v>
      </c>
      <c r="D19" t="s">
        <v>60</v>
      </c>
      <c r="F19" t="s">
        <v>61</v>
      </c>
      <c r="G19" s="3">
        <v>12000</v>
      </c>
      <c r="H19" s="3">
        <v>12000</v>
      </c>
      <c r="I19" s="3">
        <v>12000</v>
      </c>
      <c r="J19" s="3">
        <f t="shared" ref="J19:J30" si="2">SUM(G19:I19)</f>
        <v>36000</v>
      </c>
    </row>
    <row r="20" spans="1:10">
      <c r="A20" t="s">
        <v>58</v>
      </c>
      <c r="B20" t="s">
        <v>59</v>
      </c>
      <c r="C20" t="s">
        <v>40</v>
      </c>
      <c r="D20" t="s">
        <v>62</v>
      </c>
      <c r="F20" t="s">
        <v>63</v>
      </c>
      <c r="G20" s="3">
        <v>30000</v>
      </c>
      <c r="H20" s="3">
        <v>35000</v>
      </c>
      <c r="I20" s="3">
        <v>30000</v>
      </c>
      <c r="J20" s="3">
        <f t="shared" si="2"/>
        <v>95000</v>
      </c>
    </row>
    <row r="21" spans="1:10">
      <c r="A21" t="s">
        <v>58</v>
      </c>
      <c r="B21" t="s">
        <v>59</v>
      </c>
      <c r="C21" t="s">
        <v>40</v>
      </c>
      <c r="D21" t="s">
        <v>64</v>
      </c>
      <c r="F21" t="s">
        <v>65</v>
      </c>
      <c r="G21" s="3">
        <v>20000</v>
      </c>
      <c r="H21" s="3">
        <v>25000</v>
      </c>
      <c r="I21" s="3">
        <v>25000</v>
      </c>
      <c r="J21" s="3">
        <f t="shared" si="2"/>
        <v>70000</v>
      </c>
    </row>
    <row r="22" spans="1:10">
      <c r="A22" t="s">
        <v>66</v>
      </c>
      <c r="B22" t="s">
        <v>67</v>
      </c>
      <c r="C22" t="s">
        <v>40</v>
      </c>
      <c r="D22" t="s">
        <v>68</v>
      </c>
      <c r="F22" t="s">
        <v>69</v>
      </c>
      <c r="G22" s="3">
        <v>30000</v>
      </c>
      <c r="H22" s="3">
        <v>10000</v>
      </c>
      <c r="I22" s="3">
        <v>10000</v>
      </c>
      <c r="J22" s="3">
        <f t="shared" si="2"/>
        <v>50000</v>
      </c>
    </row>
    <row r="23" spans="1:10">
      <c r="A23" t="s">
        <v>70</v>
      </c>
      <c r="B23" t="s">
        <v>71</v>
      </c>
      <c r="C23" t="s">
        <v>40</v>
      </c>
      <c r="D23" t="s">
        <v>72</v>
      </c>
      <c r="F23" t="s">
        <v>73</v>
      </c>
      <c r="G23" s="3">
        <v>8000</v>
      </c>
      <c r="H23" s="3">
        <v>8000</v>
      </c>
      <c r="I23" s="3">
        <v>8000</v>
      </c>
      <c r="J23" s="3">
        <f t="shared" si="2"/>
        <v>24000</v>
      </c>
    </row>
    <row r="24" spans="1:10">
      <c r="A24" t="s">
        <v>74</v>
      </c>
      <c r="B24" t="s">
        <v>75</v>
      </c>
      <c r="C24" t="s">
        <v>40</v>
      </c>
      <c r="D24" t="s">
        <v>76</v>
      </c>
      <c r="F24" t="s">
        <v>77</v>
      </c>
      <c r="G24" s="3">
        <v>15000</v>
      </c>
      <c r="H24" s="3">
        <v>20000</v>
      </c>
      <c r="I24" s="3">
        <v>25000</v>
      </c>
      <c r="J24" s="3">
        <f t="shared" si="2"/>
        <v>60000</v>
      </c>
    </row>
    <row r="25" spans="1:10">
      <c r="A25" t="s">
        <v>78</v>
      </c>
      <c r="B25" t="s">
        <v>79</v>
      </c>
      <c r="C25" t="s">
        <v>40</v>
      </c>
      <c r="D25" t="s">
        <v>80</v>
      </c>
      <c r="F25" t="s">
        <v>81</v>
      </c>
      <c r="G25" s="3">
        <v>20000</v>
      </c>
      <c r="H25" s="3">
        <v>20000</v>
      </c>
      <c r="I25" s="3">
        <v>20000</v>
      </c>
      <c r="J25" s="3">
        <f t="shared" si="2"/>
        <v>60000</v>
      </c>
    </row>
    <row r="26" spans="1:10">
      <c r="A26" t="s">
        <v>78</v>
      </c>
      <c r="B26" t="s">
        <v>79</v>
      </c>
      <c r="C26" t="s">
        <v>40</v>
      </c>
      <c r="D26" t="s">
        <v>82</v>
      </c>
      <c r="F26" t="s">
        <v>83</v>
      </c>
      <c r="G26" s="3">
        <v>10000</v>
      </c>
      <c r="H26" s="3">
        <v>10000</v>
      </c>
      <c r="I26" s="3">
        <v>10000</v>
      </c>
      <c r="J26" s="3">
        <f t="shared" si="2"/>
        <v>30000</v>
      </c>
    </row>
    <row r="27" spans="1:10">
      <c r="A27" t="s">
        <v>84</v>
      </c>
      <c r="B27" t="s">
        <v>85</v>
      </c>
      <c r="C27" t="s">
        <v>40</v>
      </c>
      <c r="D27" t="s">
        <v>86</v>
      </c>
      <c r="F27" t="s">
        <v>87</v>
      </c>
      <c r="G27" s="3">
        <v>30000</v>
      </c>
      <c r="H27" s="3">
        <v>35000</v>
      </c>
      <c r="I27" s="3">
        <v>35000</v>
      </c>
      <c r="J27" s="3">
        <f t="shared" si="2"/>
        <v>100000</v>
      </c>
    </row>
    <row r="28" spans="1:10">
      <c r="A28" t="s">
        <v>84</v>
      </c>
      <c r="B28" t="s">
        <v>85</v>
      </c>
      <c r="C28" t="s">
        <v>40</v>
      </c>
      <c r="D28" t="s">
        <v>88</v>
      </c>
      <c r="F28" t="s">
        <v>89</v>
      </c>
      <c r="G28" s="3">
        <v>35000</v>
      </c>
      <c r="H28" s="3">
        <v>40000</v>
      </c>
      <c r="I28" s="3">
        <v>40000</v>
      </c>
      <c r="J28" s="3">
        <f t="shared" si="2"/>
        <v>115000</v>
      </c>
    </row>
    <row r="29" spans="1:10">
      <c r="A29" t="s">
        <v>84</v>
      </c>
      <c r="B29" t="s">
        <v>85</v>
      </c>
      <c r="C29" t="s">
        <v>40</v>
      </c>
      <c r="D29" t="s">
        <v>90</v>
      </c>
      <c r="F29" t="s">
        <v>91</v>
      </c>
      <c r="G29" s="3">
        <v>5000</v>
      </c>
      <c r="H29" s="3">
        <v>5000</v>
      </c>
      <c r="I29" s="3">
        <v>0</v>
      </c>
      <c r="J29" s="3">
        <f t="shared" si="2"/>
        <v>10000</v>
      </c>
    </row>
    <row r="30" spans="1:10">
      <c r="A30" t="s">
        <v>92</v>
      </c>
      <c r="B30" t="s">
        <v>93</v>
      </c>
      <c r="C30" t="s">
        <v>40</v>
      </c>
      <c r="D30" t="s">
        <v>94</v>
      </c>
      <c r="F30" t="s">
        <v>95</v>
      </c>
      <c r="G30" s="3">
        <v>12000</v>
      </c>
      <c r="H30" s="3">
        <v>12000</v>
      </c>
      <c r="I30" s="3">
        <v>12000</v>
      </c>
      <c r="J30" s="3">
        <f t="shared" si="2"/>
        <v>36000</v>
      </c>
    </row>
    <row r="31" spans="1:10" ht="15">
      <c r="A31" s="8"/>
      <c r="B31" s="8" t="s">
        <v>53</v>
      </c>
      <c r="C31" s="8"/>
      <c r="D31" s="8" t="s">
        <v>96</v>
      </c>
      <c r="E31" s="8"/>
      <c r="F31" s="8"/>
      <c r="G31" s="11">
        <f>SUM(G16:G17,G19:G30)</f>
        <v>1168265</v>
      </c>
      <c r="H31" s="11">
        <f>SUM(H16:H17,H19:H30)</f>
        <v>1201502.95</v>
      </c>
      <c r="I31" s="11">
        <f>SUM(I16:I17,I19:I30)</f>
        <v>1225588.0384999998</v>
      </c>
      <c r="J31" s="11">
        <f>SUM(J16:J17,J19:J30)</f>
        <v>3595355.9885000004</v>
      </c>
    </row>
    <row r="32" spans="1:10">
      <c r="B32" t="s">
        <v>97</v>
      </c>
      <c r="D32" t="s">
        <v>98</v>
      </c>
      <c r="G32" s="3">
        <f>G31-G22</f>
        <v>1138265</v>
      </c>
      <c r="H32" s="3">
        <f>H31-H22</f>
        <v>1191502.95</v>
      </c>
      <c r="I32" s="3">
        <f>I31-I22</f>
        <v>1215588.0384999998</v>
      </c>
      <c r="J32" s="3">
        <f>SUM(G32:I32)</f>
        <v>3545355.9885</v>
      </c>
    </row>
    <row r="33" spans="1:10">
      <c r="A33" t="s">
        <v>99</v>
      </c>
      <c r="B33" t="s">
        <v>100</v>
      </c>
      <c r="C33" t="s">
        <v>40</v>
      </c>
      <c r="D33" t="s">
        <v>101</v>
      </c>
      <c r="F33" t="s">
        <v>102</v>
      </c>
      <c r="G33" s="3">
        <f>G32*Assumptions!$B$3</f>
        <v>113826.5</v>
      </c>
      <c r="H33" s="3">
        <f>H32*Assumptions!$B$3</f>
        <v>119150.295</v>
      </c>
      <c r="I33" s="3">
        <f>I32*Assumptions!$B$3</f>
        <v>121558.80384999998</v>
      </c>
      <c r="J33" s="3">
        <f>SUM(G33:I33)</f>
        <v>354535.59884999995</v>
      </c>
    </row>
    <row r="34" spans="1:10" ht="15">
      <c r="A34" s="9"/>
      <c r="B34" s="9" t="s">
        <v>37</v>
      </c>
      <c r="C34" s="9"/>
      <c r="D34" s="9" t="s">
        <v>6</v>
      </c>
      <c r="E34" s="9"/>
      <c r="F34" s="9"/>
      <c r="G34" s="12">
        <f>G31+G33</f>
        <v>1282091.5</v>
      </c>
      <c r="H34" s="12">
        <f>H31+H33</f>
        <v>1320653.2449999999</v>
      </c>
      <c r="I34" s="12">
        <f>I31+I33</f>
        <v>1347146.8423499998</v>
      </c>
      <c r="J34" s="12">
        <f>SUM(G34:I34)</f>
        <v>3949891.5873499997</v>
      </c>
    </row>
    <row r="36" spans="1:10">
      <c r="A36" s="7" t="s">
        <v>103</v>
      </c>
      <c r="B36" s="7"/>
      <c r="C36" s="7"/>
      <c r="D36" s="18" t="s">
        <v>104</v>
      </c>
      <c r="E36" s="18"/>
      <c r="F36" s="18"/>
      <c r="G36" s="18"/>
      <c r="H36" s="18"/>
      <c r="I36" s="18"/>
      <c r="J36" s="18"/>
    </row>
    <row r="37" spans="1:10">
      <c r="A37" s="7" t="s">
        <v>103</v>
      </c>
      <c r="B37" s="7"/>
      <c r="C37" s="7"/>
      <c r="D37" s="18" t="s">
        <v>105</v>
      </c>
      <c r="E37" s="18"/>
      <c r="F37" s="18"/>
      <c r="G37" s="18"/>
      <c r="H37" s="18"/>
      <c r="I37" s="18"/>
      <c r="J37" s="18"/>
    </row>
  </sheetData>
  <mergeCells count="5">
    <mergeCell ref="A1:J1"/>
    <mergeCell ref="A2:J2"/>
    <mergeCell ref="A3:J3"/>
    <mergeCell ref="D36:J36"/>
    <mergeCell ref="D37:J37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defaultRowHeight="14.25"/>
  <cols>
    <col min="1" max="1" width="28" customWidth="1"/>
    <col min="2" max="2" width="18" customWidth="1"/>
    <col min="3" max="3" width="80" customWidth="1"/>
  </cols>
  <sheetData>
    <row r="1" spans="1:3" ht="24" customHeight="1">
      <c r="A1" s="1" t="s">
        <v>106</v>
      </c>
      <c r="B1" s="1" t="s">
        <v>107</v>
      </c>
      <c r="C1" s="1" t="s">
        <v>5</v>
      </c>
    </row>
    <row r="2" spans="1:3">
      <c r="A2" s="4" t="s">
        <v>108</v>
      </c>
      <c r="B2" s="5">
        <v>0.17</v>
      </c>
      <c r="C2" s="4" t="s">
        <v>109</v>
      </c>
    </row>
    <row r="3" spans="1:3" ht="28.5">
      <c r="A3" s="4" t="s">
        <v>110</v>
      </c>
      <c r="B3" s="5">
        <v>0.1</v>
      </c>
      <c r="C3" s="4" t="s">
        <v>111</v>
      </c>
    </row>
    <row r="4" spans="1:3">
      <c r="A4" s="4" t="s">
        <v>112</v>
      </c>
      <c r="B4" s="5">
        <v>0.03</v>
      </c>
      <c r="C4" s="4" t="s">
        <v>113</v>
      </c>
    </row>
    <row r="5" spans="1:3">
      <c r="A5" s="4" t="s">
        <v>8</v>
      </c>
      <c r="B5" s="6">
        <v>4800285</v>
      </c>
      <c r="C5" s="4" t="s">
        <v>114</v>
      </c>
    </row>
    <row r="6" spans="1:3">
      <c r="A6" s="4" t="s">
        <v>115</v>
      </c>
      <c r="B6" s="6">
        <v>9000000</v>
      </c>
      <c r="C6" s="4" t="s">
        <v>116</v>
      </c>
    </row>
    <row r="7" spans="1:3">
      <c r="A7" s="4" t="s">
        <v>117</v>
      </c>
      <c r="B7" s="6">
        <v>3950000</v>
      </c>
      <c r="C7" s="4" t="s">
        <v>118</v>
      </c>
    </row>
    <row r="8" spans="1:3" ht="28.5">
      <c r="A8" s="4" t="s">
        <v>119</v>
      </c>
      <c r="B8" s="4" t="s">
        <v>120</v>
      </c>
      <c r="C8" s="4" t="s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/>
  </sheetViews>
  <sheetFormatPr defaultRowHeight="14.25"/>
  <cols>
    <col min="1" max="1" width="34" customWidth="1"/>
    <col min="2" max="6" width="14" customWidth="1"/>
    <col min="7" max="7" width="72" customWidth="1"/>
  </cols>
  <sheetData>
    <row r="1" spans="1:7" ht="24" customHeight="1">
      <c r="A1" s="15" t="s">
        <v>122</v>
      </c>
      <c r="B1" s="15"/>
      <c r="C1" s="15"/>
      <c r="D1" s="15"/>
      <c r="E1" s="15"/>
      <c r="F1" s="15"/>
      <c r="G1" s="14"/>
    </row>
    <row r="3" spans="1:7" ht="15">
      <c r="A3" s="1" t="s">
        <v>123</v>
      </c>
      <c r="B3" s="1" t="s">
        <v>124</v>
      </c>
      <c r="C3" s="1" t="s">
        <v>23</v>
      </c>
      <c r="D3" s="1" t="s">
        <v>25</v>
      </c>
      <c r="E3" s="1" t="s">
        <v>27</v>
      </c>
      <c r="F3" s="1" t="s">
        <v>37</v>
      </c>
      <c r="G3" s="1" t="s">
        <v>5</v>
      </c>
    </row>
    <row r="4" spans="1:7">
      <c r="A4" t="s">
        <v>125</v>
      </c>
      <c r="B4" t="s">
        <v>40</v>
      </c>
      <c r="C4" s="3">
        <f>'SGDI Budget'!G16+'SGDI Budget'!G17</f>
        <v>941265</v>
      </c>
      <c r="D4" s="3">
        <f>'SGDI Budget'!H16+'SGDI Budget'!H17</f>
        <v>969502.95</v>
      </c>
      <c r="E4" s="3">
        <f>'SGDI Budget'!I16+'SGDI Budget'!I17</f>
        <v>998588.03849999991</v>
      </c>
      <c r="F4" s="3">
        <f t="shared" ref="F4:F10" si="0">SUM(C4:E4)</f>
        <v>2909355.9885</v>
      </c>
      <c r="G4" t="s">
        <v>126</v>
      </c>
    </row>
    <row r="5" spans="1:7">
      <c r="A5" t="s">
        <v>127</v>
      </c>
      <c r="B5" t="s">
        <v>40</v>
      </c>
      <c r="C5" s="3">
        <f>SUM('SGDI Budget'!G19:G21)</f>
        <v>62000</v>
      </c>
      <c r="D5" s="3">
        <f>SUM('SGDI Budget'!H19:H21)</f>
        <v>72000</v>
      </c>
      <c r="E5" s="3">
        <f>SUM('SGDI Budget'!I19:I21)</f>
        <v>67000</v>
      </c>
      <c r="F5" s="3">
        <f t="shared" si="0"/>
        <v>201000</v>
      </c>
      <c r="G5" t="s">
        <v>128</v>
      </c>
    </row>
    <row r="6" spans="1:7">
      <c r="A6" t="s">
        <v>67</v>
      </c>
      <c r="B6" t="s">
        <v>40</v>
      </c>
      <c r="C6" s="3">
        <f>'SGDI Budget'!G22</f>
        <v>30000</v>
      </c>
      <c r="D6" s="3">
        <f>'SGDI Budget'!H22</f>
        <v>10000</v>
      </c>
      <c r="E6" s="3">
        <f>'SGDI Budget'!I22</f>
        <v>10000</v>
      </c>
      <c r="F6" s="3">
        <f t="shared" si="0"/>
        <v>50000</v>
      </c>
      <c r="G6" t="s">
        <v>129</v>
      </c>
    </row>
    <row r="7" spans="1:7">
      <c r="A7" t="s">
        <v>130</v>
      </c>
      <c r="B7" t="s">
        <v>40</v>
      </c>
      <c r="C7" s="3">
        <f>SUM('SGDI Budget'!G23:G24,'SGDI Budget'!G30)</f>
        <v>35000</v>
      </c>
      <c r="D7" s="3">
        <f>SUM('SGDI Budget'!H23:H24,'SGDI Budget'!H30)</f>
        <v>40000</v>
      </c>
      <c r="E7" s="3">
        <f>SUM('SGDI Budget'!I23:I24,'SGDI Budget'!I30)</f>
        <v>45000</v>
      </c>
      <c r="F7" s="3">
        <f t="shared" si="0"/>
        <v>120000</v>
      </c>
      <c r="G7" t="s">
        <v>131</v>
      </c>
    </row>
    <row r="8" spans="1:7">
      <c r="A8" t="s">
        <v>132</v>
      </c>
      <c r="B8" t="s">
        <v>40</v>
      </c>
      <c r="C8" s="3">
        <f>SUM('SGDI Budget'!G25:G26,'SGDI Budget'!G29)</f>
        <v>35000</v>
      </c>
      <c r="D8" s="3">
        <f>SUM('SGDI Budget'!H25:H26,'SGDI Budget'!H29)</f>
        <v>35000</v>
      </c>
      <c r="E8" s="3">
        <f>SUM('SGDI Budget'!I25:I26,'SGDI Budget'!I29)</f>
        <v>30000</v>
      </c>
      <c r="F8" s="3">
        <f t="shared" si="0"/>
        <v>100000</v>
      </c>
      <c r="G8" t="s">
        <v>133</v>
      </c>
    </row>
    <row r="9" spans="1:7">
      <c r="A9" t="s">
        <v>134</v>
      </c>
      <c r="B9" t="s">
        <v>40</v>
      </c>
      <c r="C9" s="3">
        <f>SUM('SGDI Budget'!G27:G28)</f>
        <v>65000</v>
      </c>
      <c r="D9" s="3">
        <f>SUM('SGDI Budget'!H27:H28)</f>
        <v>75000</v>
      </c>
      <c r="E9" s="3">
        <f>SUM('SGDI Budget'!I27:I28)</f>
        <v>75000</v>
      </c>
      <c r="F9" s="3">
        <f t="shared" si="0"/>
        <v>215000</v>
      </c>
      <c r="G9" t="s">
        <v>135</v>
      </c>
    </row>
    <row r="10" spans="1:7">
      <c r="A10" t="s">
        <v>136</v>
      </c>
      <c r="B10" t="s">
        <v>40</v>
      </c>
      <c r="C10" s="3">
        <f>'SGDI Budget'!G33</f>
        <v>113826.5</v>
      </c>
      <c r="D10" s="3">
        <f>'SGDI Budget'!H33</f>
        <v>119150.295</v>
      </c>
      <c r="E10" s="3">
        <f>'SGDI Budget'!I33</f>
        <v>121558.80384999998</v>
      </c>
      <c r="F10" s="3">
        <f t="shared" si="0"/>
        <v>354535.59884999995</v>
      </c>
      <c r="G10" t="s">
        <v>137</v>
      </c>
    </row>
    <row r="11" spans="1:7" ht="15">
      <c r="A11" s="9" t="s">
        <v>37</v>
      </c>
      <c r="B11" s="9" t="s">
        <v>40</v>
      </c>
      <c r="C11" s="12">
        <f>SUM(C4:C10)</f>
        <v>1282091.5</v>
      </c>
      <c r="D11" s="12">
        <f>SUM(D4:D10)</f>
        <v>1320653.2449999999</v>
      </c>
      <c r="E11" s="12">
        <f>SUM(E4:E10)</f>
        <v>1347146.8423499998</v>
      </c>
      <c r="F11" s="12">
        <f>SUM(F4:F10)</f>
        <v>3949891.5873499997</v>
      </c>
      <c r="G11" s="9" t="s">
        <v>138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SGDI Budget</vt:lpstr>
      <vt:lpstr>Assumptions</vt:lpstr>
      <vt:lpstr>Cost Estimate 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Ricky S</cp:lastModifiedBy>
  <dcterms:created xsi:type="dcterms:W3CDTF">2026-06-07T06:32:49Z</dcterms:created>
  <dcterms:modified xsi:type="dcterms:W3CDTF">2026-06-07T06:32:49Z</dcterms:modified>
</cp:coreProperties>
</file>
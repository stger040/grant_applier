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tginnovation-my.sharepoint.com/personal/rebecca_stginnovation_com/Documents/"/>
    </mc:Choice>
  </mc:AlternateContent>
  <xr:revisionPtr revIDLastSave="43" documentId="8_{20FD6FC5-3B5F-4E5B-94DD-62F6A102B621}" xr6:coauthVersionLast="47" xr6:coauthVersionMax="47" xr10:uidLastSave="{01E3F456-D727-4C0B-ADE1-453952E8DD3A}"/>
  <bookViews>
    <workbookView xWindow="4995" yWindow="510" windowWidth="15990" windowHeight="10425" xr2:uid="{7E69566F-FA86-4DCD-AD23-F9B211FC9181}"/>
  </bookViews>
  <sheets>
    <sheet name="AAIPIHEA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H120" i="1"/>
  <c r="E116" i="1"/>
  <c r="G118" i="1"/>
  <c r="E36" i="1"/>
  <c r="K26" i="1"/>
  <c r="J26" i="1"/>
  <c r="I26" i="1"/>
  <c r="H26" i="1"/>
  <c r="G26" i="1"/>
  <c r="F26" i="1"/>
  <c r="E26" i="1"/>
  <c r="E37" i="1" s="1"/>
  <c r="E110" i="1" s="1"/>
  <c r="L25" i="1"/>
  <c r="L24" i="1"/>
  <c r="L23" i="1"/>
  <c r="L20" i="1"/>
  <c r="L19" i="1"/>
  <c r="L18" i="1"/>
  <c r="L17" i="1"/>
  <c r="L16" i="1"/>
  <c r="L15" i="1"/>
  <c r="L14" i="1"/>
  <c r="L13" i="1"/>
  <c r="L26" i="1" l="1"/>
  <c r="E112" i="1"/>
</calcChain>
</file>

<file path=xl/sharedStrings.xml><?xml version="1.0" encoding="utf-8"?>
<sst xmlns="http://schemas.openxmlformats.org/spreadsheetml/2006/main" count="196" uniqueCount="158">
  <si>
    <t>NSF 25-544 Category I: IHEART National Pathways Data &amp; AI Infrastructure</t>
  </si>
  <si>
    <t>Association of American Indian Physicians (AAIP): The Indigenous Health, Education, and Resources Taskforce (IHEART): SGDI</t>
  </si>
  <si>
    <t>Fiscal  Year One  2026 - Fiscal Year Five 2030</t>
  </si>
  <si>
    <t>FY One Q3 2026 through Q4 2026 (June 1, 2026 - September 31, 2026); FY2-5</t>
  </si>
  <si>
    <t>Line Item</t>
  </si>
  <si>
    <t>Description</t>
  </si>
  <si>
    <t>5 Year</t>
  </si>
  <si>
    <t>Employees</t>
  </si>
  <si>
    <t>Year 1 July 1, 2026 - Sept 30, 2026</t>
  </si>
  <si>
    <t>Year 2 Oct 1, 2026 - Sept 30, 2027</t>
  </si>
  <si>
    <t>Year 3 Oct 1, 2027 - Sept 30, 2028</t>
  </si>
  <si>
    <t>Year 4 Oct 1, 2028 - Sept 30, 2029</t>
  </si>
  <si>
    <t>Year 5 Oct 1, 2029 - Sept 30, 2030</t>
  </si>
  <si>
    <t>Total Budget Variance - Original</t>
  </si>
  <si>
    <t>Percent Total Budget Remaining - Revised</t>
  </si>
  <si>
    <t>Revenues</t>
  </si>
  <si>
    <t>Grant/Contract 25-544</t>
  </si>
  <si>
    <t>RATE</t>
  </si>
  <si>
    <t>VALUE</t>
  </si>
  <si>
    <t>Expenditures</t>
  </si>
  <si>
    <t>A.</t>
  </si>
  <si>
    <t>Salaries - Regular</t>
  </si>
  <si>
    <t>AAIP</t>
  </si>
  <si>
    <r>
      <t>AAIP Co-PI, Matheson, MD:</t>
    </r>
    <r>
      <rPr>
        <sz val="10"/>
        <color theme="1"/>
        <rFont val="Times New Roman"/>
        <family val="1"/>
      </rPr>
      <t xml:space="preserve"> Year 1 FTE @25% at Base Rate $155.77/hr*130hr = $20,250.  Year 2 FTE @25% at Base Rate $155.77/hr*520hr = $81,000.  Year 3 FTE @25% at Base Rate $155.77/hr*520hr = $81,000. Year 4FTE @25% at Base Rate $155.77/hr*520hr = $81,000. Year 5 FTE @25% at Base Rate $155.77/hr*520hr =$81,000. </t>
    </r>
    <r>
      <rPr>
        <b/>
        <sz val="10"/>
        <color theme="1"/>
        <rFont val="Times New Roman"/>
        <family val="1"/>
      </rPr>
      <t>Total 5 YR Annual Salary = $344,250</t>
    </r>
  </si>
  <si>
    <t>IHEART</t>
  </si>
  <si>
    <r>
      <rPr>
        <b/>
        <sz val="10"/>
        <color theme="1"/>
        <rFont val="Times New Roman"/>
        <family val="1"/>
      </rPr>
      <t>AAIP Co-PI, Owen, MD</t>
    </r>
    <r>
      <rPr>
        <sz val="10"/>
        <color theme="1"/>
        <rFont val="Times New Roman"/>
        <family val="1"/>
      </rPr>
      <t>: Year 1 FTE @25% at Base Rate $155.77/hr*130hr = $20,250.  Year 2 FTE @25% at Base Rate $155.77/hr*520hr = $81,000.  Year 3 FTE @25% at Base Rate $155.77/hr*520hr = $81,000. Year 4FTE @25% at Base Rate $155.77/hr*520hr = $81,000. Year 5 FTE @25% at Base Rate $155.77/hr*520hr =$81,000. Total 5 YR Annual Salary = $344,250</t>
    </r>
  </si>
  <si>
    <r>
      <rPr>
        <b/>
        <sz val="10"/>
        <color rgb="FF000000"/>
        <rFont val="Times New Roman"/>
      </rPr>
      <t>AAIP Executive Director, TBD:</t>
    </r>
    <r>
      <rPr>
        <sz val="10"/>
        <color rgb="FF000000"/>
        <rFont val="Times New Roman"/>
      </rPr>
      <t xml:space="preserve"> Year 1 FTE @25% at Base Rate $192.30/hr*130hr = $24,999.00.  Year 2 FTE @25% at Base Rate $192.30/hr*520hr = $99,996.00.  Year 3 FTE @25% at Base Rate $192.30/hr*520hr = $99,996.00. Year 4FTE @25% at Base Rate $192.30/hr*520hr = $99,996.00. Year 5 FTE @25% at Base Rate $192.30/hr*520hr =$99,996. </t>
    </r>
    <r>
      <rPr>
        <b/>
        <sz val="10"/>
        <color rgb="FF000000"/>
        <rFont val="Times New Roman"/>
      </rPr>
      <t>Total 5 YR Annual Salary = $499,980</t>
    </r>
  </si>
  <si>
    <r>
      <rPr>
        <b/>
        <sz val="10"/>
        <color rgb="FF000000"/>
        <rFont val="Times New Roman"/>
      </rPr>
      <t xml:space="preserve">AAIP Marketing Director </t>
    </r>
    <r>
      <rPr>
        <sz val="10"/>
        <color rgb="FF000000"/>
        <rFont val="Times New Roman"/>
      </rPr>
      <t xml:space="preserve">:   Year 1 FTE @100% at Base Rate $50/hr*520hr = $26,000. Year 2 FTE @100% at Base Rate $50/hr*2080hr = $104,000.  Year 3 FTE @100% at Base Rate $50/hr*2080hr = $104,000. Year 4 FTE @100% at Base Rate $50/hr*2080hr = $104,000. Year 5 FTE @100% at Base Rate $50/hr*2080hr = $104,000.  </t>
    </r>
    <r>
      <rPr>
        <b/>
        <sz val="10"/>
        <color rgb="FF000000"/>
        <rFont val="Times New Roman"/>
      </rPr>
      <t>Total 5 YR Annual Salary = $442,000</t>
    </r>
  </si>
  <si>
    <r>
      <rPr>
        <b/>
        <sz val="10"/>
        <color theme="1"/>
        <rFont val="Times New Roman"/>
        <family val="1"/>
      </rPr>
      <t xml:space="preserve">Communications Manager, </t>
    </r>
    <r>
      <rPr>
        <sz val="10"/>
        <color theme="1"/>
        <rFont val="Times New Roman"/>
        <family val="1"/>
      </rPr>
      <t xml:space="preserve">100% FTE Year 1 @Base rate  $50.00/hr*520 hours = $31,200; Year 2 FTE 100% @ $50.00/hr*2080 hours = $104,00; Year 3 FTE 100% @ $50.00/hr*2080 hours = $104,000; Year 4 FTE 100% @ $50.00/hr*2080 hours = $104,000; Year 5 FTE 100% @ $50.00/hr*2080 hours = $104,000.  </t>
    </r>
    <r>
      <rPr>
        <b/>
        <sz val="10"/>
        <color theme="1"/>
        <rFont val="Times New Roman"/>
        <family val="1"/>
      </rPr>
      <t>Total 5 YR Annual Salary=$442,000</t>
    </r>
  </si>
  <si>
    <r>
      <rPr>
        <b/>
        <sz val="10"/>
        <color theme="1"/>
        <rFont val="Times New Roman"/>
        <family val="1"/>
      </rPr>
      <t xml:space="preserve">Region 1 Coordinator, </t>
    </r>
    <r>
      <rPr>
        <sz val="10"/>
        <color theme="1"/>
        <rFont val="Times New Roman"/>
        <family val="1"/>
      </rPr>
      <t xml:space="preserve">100% FTE Year 1 @Base rate  $50.00/hr*520 hours = $31,200; Year 2 FTE 100% @ $50.00/hr*2080 hours = $104,00; Year 3 FTE 100% @ $50.00/hr*2080 hours = $104,000; Year 4 FTE 100% @ $50.00/hr*2080 hours = $104,000; Year 5 FTE 100% @ $50.00/hr*2080 hours = $104,000.  </t>
    </r>
    <r>
      <rPr>
        <b/>
        <sz val="10"/>
        <color theme="1"/>
        <rFont val="Times New Roman"/>
        <family val="1"/>
      </rPr>
      <t>Total 5 YR Annual Salary=$442,000</t>
    </r>
  </si>
  <si>
    <r>
      <rPr>
        <b/>
        <sz val="10"/>
        <color theme="1"/>
        <rFont val="Times New Roman"/>
        <family val="1"/>
      </rPr>
      <t xml:space="preserve">Region 2 Coordinator, </t>
    </r>
    <r>
      <rPr>
        <sz val="10"/>
        <color theme="1"/>
        <rFont val="Times New Roman"/>
        <family val="1"/>
      </rPr>
      <t xml:space="preserve">100% FTE Year 1 @Base rate  $50.00/hr*520 hours = $31,200; Year 2 FTE 100% @ $50.00/hr*2080 hours = $104,00; Year 3 FTE 100% @ $50.00/hr*2080 hours = $104,000; Year 4 FTE 100% @ $50.00/hr*2080 hours = $104,000; Year 5 FTE 100% @ $50.00/hr*2080 hours = $104,000.  </t>
    </r>
    <r>
      <rPr>
        <b/>
        <sz val="10"/>
        <color theme="1"/>
        <rFont val="Times New Roman"/>
        <family val="1"/>
      </rPr>
      <t>Total 5 YR Annual Salary=$442,000</t>
    </r>
  </si>
  <si>
    <r>
      <rPr>
        <b/>
        <sz val="10"/>
        <color theme="1"/>
        <rFont val="Times New Roman"/>
        <family val="1"/>
      </rPr>
      <t xml:space="preserve">Region 3 Coordinator, </t>
    </r>
    <r>
      <rPr>
        <sz val="10"/>
        <color theme="1"/>
        <rFont val="Times New Roman"/>
        <family val="1"/>
      </rPr>
      <t xml:space="preserve">100% FTE Year 1 @Base rate  $50.00/hr*520 hours = $31,200; Year 2 FTE 100% @ $50.00/hr*2080 hours = $104,00; Year 3 FTE 100% @ $50.00/hr*2080 hours = $104,000; Year 4 FTE 100% @ $50.00/hr*2080 hours = $104,000; Year 5 FTE 100% @ $50.00/hr*2080 hours = $104,000.  </t>
    </r>
    <r>
      <rPr>
        <b/>
        <sz val="10"/>
        <color theme="1"/>
        <rFont val="Times New Roman"/>
        <family val="1"/>
      </rPr>
      <t>Total 5 YR Annual Salary=$442,000</t>
    </r>
  </si>
  <si>
    <r>
      <rPr>
        <b/>
        <sz val="10"/>
        <color rgb="FF000000"/>
        <rFont val="Times New Roman"/>
      </rPr>
      <t xml:space="preserve">Region 4 Coordinator, </t>
    </r>
    <r>
      <rPr>
        <sz val="10"/>
        <color rgb="FF000000"/>
        <rFont val="Times New Roman"/>
      </rPr>
      <t xml:space="preserve">100% FTE Year 1 @Base rate  $50.00/hr*520 hours = $31,200; Year 2 FTE 100% @ $50.00/hr*2080 hours = $104,00; Year 3 FTE 100% @ $50.00/hr*2080 hours = $104,000; Year 4 FTE 100% @ $50.00/hr*2080 hours = $104,000; Year 5 FTE 100% @ $50.00/hr*2080 hours = $104,000.  </t>
    </r>
    <r>
      <rPr>
        <b/>
        <sz val="10"/>
        <color rgb="FF000000"/>
        <rFont val="Times New Roman"/>
      </rPr>
      <t>Total 5 YR Annual Salary=$442,000</t>
    </r>
  </si>
  <si>
    <r>
      <rPr>
        <b/>
        <sz val="10"/>
        <color theme="1"/>
        <rFont val="Times New Roman"/>
        <family val="1"/>
      </rPr>
      <t>Region 5 Coordinator, TBD</t>
    </r>
    <r>
      <rPr>
        <sz val="10"/>
        <color theme="1"/>
        <rFont val="Times New Roman"/>
        <family val="1"/>
      </rPr>
      <t xml:space="preserve">: Year 1 FTE @50% at Base Rate $50/hr*520hr = $18,200. Year 2 1 FTE @100% at Base Rate $50/hr*2080hr = $104,000. Year 3 1 FTE @100% at Base Rate $50/hr*2080hr = $104,000. Year 4 1FTE @100% at Base Rate $50/hr*2080hr = $104,000. Year 5 1FTE @100% at Base Rate $50/hr*2080hr = $104,000.  </t>
    </r>
    <r>
      <rPr>
        <b/>
        <sz val="10"/>
        <color theme="1"/>
        <rFont val="Times New Roman"/>
        <family val="1"/>
      </rPr>
      <t xml:space="preserve"> Total 5 YR Annual Salary</t>
    </r>
    <r>
      <rPr>
        <sz val="10"/>
        <color theme="1"/>
        <rFont val="Times New Roman"/>
        <family val="1"/>
      </rPr>
      <t xml:space="preserve"> = </t>
    </r>
    <r>
      <rPr>
        <b/>
        <sz val="10"/>
        <color theme="1"/>
        <rFont val="Times New Roman"/>
        <family val="1"/>
      </rPr>
      <t>$442,000</t>
    </r>
  </si>
  <si>
    <t>IHEART, AAIP</t>
  </si>
  <si>
    <r>
      <rPr>
        <b/>
        <sz val="10"/>
        <color theme="1"/>
        <rFont val="Times New Roman"/>
        <family val="1"/>
      </rPr>
      <t xml:space="preserve"> Curriculum Development STEM Advisor, TBD:</t>
    </r>
    <r>
      <rPr>
        <sz val="10"/>
        <color theme="1"/>
        <rFont val="Times New Roman"/>
        <family val="1"/>
      </rPr>
      <t xml:space="preserve"> 100% FTE Year 1 @100% at Base rate  $60.00/hr*520 hours = $31,200; Year 2 FTE 100% @ $60.00/hr*2080 hours = $124,800; Year 3 FTE 100% @ $60.00/hr*2080 hours = $124,800; Year 4 FTE 100% @ $60.00/hr*2080 hours = $124,800; Year 5 FTE 100% @ $60.00/hr*2080 hours = $124,800.  </t>
    </r>
    <r>
      <rPr>
        <b/>
        <sz val="10"/>
        <color theme="1"/>
        <rFont val="Times New Roman"/>
        <family val="1"/>
      </rPr>
      <t>Total 5 YR Annual Salary=$530,400</t>
    </r>
  </si>
  <si>
    <t>IHEART, AAIP, SGDI</t>
  </si>
  <si>
    <r>
      <rPr>
        <b/>
        <sz val="10"/>
        <color theme="1"/>
        <rFont val="Times New Roman"/>
        <family val="1"/>
      </rPr>
      <t>AI Legal Counsel, TBD:</t>
    </r>
    <r>
      <rPr>
        <sz val="10"/>
        <color theme="1"/>
        <rFont val="Times New Roman"/>
        <family val="1"/>
      </rPr>
      <t xml:space="preserve"> 50% FTE Year I @  Base rate  $50/hr*520 hours = $25,001.6; Year 2 FTE 100% @ $48.08/hr*2080 hours = $100,006.4; Year 3 FTE 100% @ $48.08/hr*2080 hours = $100.006.4; Year 4 FTE 100% @ $48.08/hr*2080 hours = $100,006.4; Year 5 FTE 100% @ $48.08/hr*2080 hours = $100,006.4.  </t>
    </r>
    <r>
      <rPr>
        <b/>
        <sz val="10"/>
        <color theme="1"/>
        <rFont val="Times New Roman"/>
        <family val="1"/>
      </rPr>
      <t>Total 5 YR Salary=$425,027.20</t>
    </r>
  </si>
  <si>
    <r>
      <rPr>
        <b/>
        <sz val="10"/>
        <color theme="1"/>
        <rFont val="Times New Roman"/>
        <family val="1"/>
      </rPr>
      <t>(New) Administrative Assistant:</t>
    </r>
    <r>
      <rPr>
        <sz val="10"/>
        <color theme="1"/>
        <rFont val="Times New Roman"/>
        <family val="1"/>
      </rPr>
      <t xml:space="preserve"> 100% FTE Year 1 @100% at Base rate $25.00/hr*520 hours = $13,000; Year 2 FTE 100% @ $25.00/hr*2080 hours = $52,000; Year 3 FTE 100% @ $25.00/hr*2080 hours = $52,000; Year 4 FTE 100% @ $25.00/hr*2080 hours = $52,000; Year 5 FTE 100% @ $25.00/hr*2080 hours = $52,000.  </t>
    </r>
    <r>
      <rPr>
        <b/>
        <sz val="10"/>
        <color theme="1"/>
        <rFont val="Times New Roman"/>
        <family val="1"/>
      </rPr>
      <t>Total Annual Salary=$221,000 x 2 = $442,000</t>
    </r>
  </si>
  <si>
    <r>
      <rPr>
        <b/>
        <sz val="10"/>
        <color theme="1"/>
        <rFont val="Times New Roman"/>
        <family val="1"/>
      </rPr>
      <t>TOTAL SALARY</t>
    </r>
    <r>
      <rPr>
        <sz val="10"/>
        <color theme="1"/>
        <rFont val="Times New Roman"/>
        <family val="1"/>
      </rPr>
      <t xml:space="preserve"> </t>
    </r>
  </si>
  <si>
    <t>B.</t>
  </si>
  <si>
    <t>Fringe Benefits Rate for 5 years based on total salary</t>
  </si>
  <si>
    <t>FICA/Medicare @ 7.65% of base rate all salaries</t>
  </si>
  <si>
    <t>FICA/Medicare is calculated at 7.65% of salaries: $5,629,907.2*.0765 = $464,515.5735</t>
  </si>
  <si>
    <t>Worker's Compensation @ 2.00%</t>
  </si>
  <si>
    <t>Workman's Compensation is calculated 2.00% of total salary: $5,629,907.2 * .02= $99,828.14</t>
  </si>
  <si>
    <t>FUTA</t>
  </si>
  <si>
    <t>FUTA: 0.6% of first $7,000 wages</t>
  </si>
  <si>
    <t>SUTA (MN) @ 4.45%</t>
  </si>
  <si>
    <t>SUTA MN (Tech employer NAICS 54) 1.00% UI rate + 5% assessment = 1.05%, applied to first $43,000 wages per employee/year</t>
  </si>
  <si>
    <t>401(k) retirement benefit</t>
  </si>
  <si>
    <t xml:space="preserve">401(k) is the retirement benefit at 3% of total salaries: $ 4,991,407.2 x .03 =$149,742.216 </t>
  </si>
  <si>
    <t>Health Insurance</t>
  </si>
  <si>
    <t>Employer $19,276 / eligible employee -year</t>
  </si>
  <si>
    <t>Dental Insurance</t>
  </si>
  <si>
    <t>Employer = $300 / eligible employee -year</t>
  </si>
  <si>
    <t>Vision/Eye Insurance</t>
  </si>
  <si>
    <t>Employer - $90 / eligible employee-year</t>
  </si>
  <si>
    <t xml:space="preserve">Total Fringe </t>
  </si>
  <si>
    <t>TOTAL SALARY  &amp; FRINGE</t>
  </si>
  <si>
    <t>Note: Total salary $6,731,592.71 for all eligible employees for fringe benefits. $7,370,092.71 is the total salary including Dr. Matheson and Dr. Owen who are faculty status, and their salaries have been adjusted accordingly per NSF guidance.</t>
  </si>
  <si>
    <t xml:space="preserve">Fringe benefits are requested for project personnel in accordance with the organization’s established policies and consistent treatment of fringe costs across all funding sources. Consistent with NSF PAPPG and 2 CFR Part 200, fringe benefits are allowable as direct costs when they are part of the organization’s normal compensation practice and are charged consistently to all projects. </t>
  </si>
  <si>
    <t xml:space="preserve">Fringe benefits in this proposal include employer-paid health, dental, and vision insurance (for benefit-eligible staff), employer retirement contributions (401(k) match), and statutory payroll-related costs required for a Minnesota-based for-profit employer. Payroll-related fringe includes the employer share of FICA/Medicare, federal unemployment tax (FUTA), Minnesota unemployment insurance (SUTA), and workers’ compensation insurance. These categories are explicitly recognized as allowable fringe components under Uniform Guidance §200.431. </t>
  </si>
  <si>
    <t>Fringe costs are calculated using the organization’s standard rates and fixed per-employee benefit costs. Payroll-based fringe items are applied as percentages of salary consistent with federal/state requirements, while insurance benefits are applied as fixed annual employer costs per eligible employee. Part-time intern personnel are not eligible for organization-sponsored health, dental, or vision plans; therefore, those insurance costs are not charged for the intern role. All fringe charges are based on actual expected costs, are reasonable, and are allocable to the proposed cyberinfrastructure activities supported by NSF OAC.</t>
  </si>
  <si>
    <t>Justification</t>
  </si>
  <si>
    <t>Co-Pis</t>
  </si>
  <si>
    <t>AAIP PI: B. Matheson, MD; IHEART PI Mary Owen, MD</t>
  </si>
  <si>
    <t>AAIP and IHEART Co-PIs Drs. Matheson and Owen will drive the scientific and community impact of NIHDPI by anchoring the cyberinfrastructure in Indigenous pathways priorities and regional realities. Matheson and Owen’s leadership ensures that national data integration and AI workflows are built from the lived experience of AI/AN learners and health workforce programs, strengthening validity and adoption across all five hubs. Through oversight of partner onboarding, data stewardship, and CARE-aligned governance implementation, Dr. Owen will accelerate the production of ethically authorized, policy-relevant evidence on retention, transition dynamics, and return-to-community outcomes. Dr. Matheson will ensure that the result is a durable national CI ecosystem that expands participation, improves program effectiveness, and measurably strengthens the Indigenous health workforce</t>
  </si>
  <si>
    <t>AI Legal Counsel</t>
  </si>
  <si>
    <t>IHEART, SGDI</t>
  </si>
  <si>
    <t>Data Governance: Ensuring data used for AI is managed in compliance with evolving regulations. Regulatory compliance: Staying up to date on new and emerging AI-specific legislation to ensure ethical and lawful AI development and deploymnet; risk mitigation, contracts and licensing, and intellectual property.</t>
  </si>
  <si>
    <t>Communications Manager</t>
  </si>
  <si>
    <t>A communications manager is necessary to translate CI activities, governance decisions, and research outputs into clear, accessible products for diverse stakeholders (students, educators, Tribal leaders, clinicians, and NSF). This role maintains regular, trustworthy information flow across a distributed network, supports onboarding and retention, and ensures timely dissemination of program findings. Strong communications capacity is critical for transparency, credibility, and sustained national participation.</t>
  </si>
  <si>
    <t>Marketing Director</t>
  </si>
  <si>
    <t xml:space="preserve">AAIP/IHEART </t>
  </si>
  <si>
    <t>This role supports recruitment into programs, increases utilization of CI tools, and strengthens external partnerships needed for long-term sustainability. Dedicated marketing leadership ensures the CI scales to its projected user base and maximizes educational and workforce return on NSF investment.</t>
  </si>
  <si>
    <t>Regional Coordinator</t>
  </si>
  <si>
    <t>Regional coordinators are required to operationalize the five-hub national model by managing partner intake, coordinating data contributions, and supporting local pathways programs in culturally and geographically specific contexts. This role provides the high-touch relationship stewardship needed for sustained multi-region data pipelines, governance compliance, and equitable participation. Coordinators are the primary bridge between Tribal/community partners and the CI team, ensuring regional priorities shape national implementation.</t>
  </si>
  <si>
    <t>Curriculum Development STEM Advisor</t>
  </si>
  <si>
    <t xml:space="preserve">This position is essential to design and maintain the Indigenous-centered, data- and AI-enabled curriculum that supports national onboarding, workforce preparation, and sustained user engagement. The role ensures training materials are culturally grounded, aligned with CARE principles, and mapped to pathway stages (K–12 through early career), enabling consistent skill development across regions. Without dedicated curriculum expertise, the CI’s educational and workforce outcomes would be fragmented, limiting adoption and scientific impact. </t>
  </si>
  <si>
    <t>Administrative Assistant</t>
  </si>
  <si>
    <t>AAIP/IHEART</t>
  </si>
  <si>
    <t xml:space="preserve">Administrative assistants are required to assist STEM curriculum support, office management, work independently, and support other staff on travel, coordinate billing and receiving. </t>
  </si>
  <si>
    <t>Expenses</t>
  </si>
  <si>
    <t>Stipends </t>
  </si>
  <si>
    <t xml:space="preserve">Justification: Participant support costs for student, speaker programs like internships, fellowships, or training grants = $16,000. Includes support for Student/intern participation when presenting priority STEM/ AI /clinical research at conferences. 8 Student/Interns per year x 2 conferences per year x 5 years= $80,000; Stipend supports AAIP Regional Advisory Board stipend $200 per meeting= $2,400 x 12 meetings per year= $28,800 x 5 year = $144,000. Total Stipend = $16,000 + $144,000 = 160,000  </t>
  </si>
  <si>
    <r>
      <rPr>
        <b/>
        <sz val="10"/>
        <color rgb="FF000000"/>
        <rFont val="Times New Roman"/>
      </rPr>
      <t>Travel/Training</t>
    </r>
    <r>
      <rPr>
        <sz val="10"/>
        <color rgb="FF000000"/>
        <rFont val="Times New Roman"/>
      </rPr>
      <t xml:space="preserve"> National Congress of American Indians Annual Convention, January 20- 25, 2026, Washington, DC</t>
    </r>
  </si>
  <si>
    <t>Justification: NCAI hosts Indian Country to unite, amplify voices, and shape a powerful collective future. Tribal leaders, NCAI members, Native youth, and allies from across Indian Country will gather to tackle critical issues, strategize for the future, and strengthen nation-to-nation relationships. Registration fees=$525x8=$4200; Airfare= $328 RT from OKC to Washington DC x 8 persons= $2,624; $350 RT from MSP to Washington DC/person x 8 person =$2,800; Baggage $100 RT x 8 person = $800;  DC per diem meals = $79/day and lodging = $252/night for a total=$331 for one person. For 8 persons: $331 x 8 = $2,648 x 4 nights = $10,592;  (April 13 arrive, leave on April 17 to MSP); Ubers: $70 RT x 2 person per car x 5=$700;  Total Data Trip=$. 21,716 x 4 years = $86,864</t>
  </si>
  <si>
    <t>C.</t>
  </si>
  <si>
    <r>
      <rPr>
        <b/>
        <sz val="10"/>
        <color theme="1"/>
        <rFont val="Times New Roman"/>
        <family val="1"/>
      </rPr>
      <t>Travel/Training</t>
    </r>
    <r>
      <rPr>
        <sz val="10"/>
        <color theme="1"/>
        <rFont val="Times New Roman"/>
        <family val="1"/>
      </rPr>
      <t xml:space="preserve">  U.S. Indigenous Data Sovereignty &amp; Governance Summit, April 14-17, 2026, Tucson, AZ</t>
    </r>
  </si>
  <si>
    <r>
      <rPr>
        <i/>
        <u/>
        <sz val="10"/>
        <color theme="1"/>
        <rFont val="Times New Roman"/>
        <family val="1"/>
      </rPr>
      <t>Justification</t>
    </r>
    <r>
      <rPr>
        <i/>
        <sz val="10"/>
        <color theme="1"/>
        <rFont val="Times New Roman"/>
        <family val="1"/>
      </rPr>
      <t xml:space="preserve">: Registration fee $400, dinner $100, IDSov seminar $250 = $750 x 10 scientist employees= </t>
    </r>
    <r>
      <rPr>
        <b/>
        <i/>
        <sz val="10"/>
        <color theme="1"/>
        <rFont val="Times New Roman"/>
        <family val="1"/>
      </rPr>
      <t>$7,500</t>
    </r>
    <r>
      <rPr>
        <i/>
        <sz val="10"/>
        <color theme="1"/>
        <rFont val="Times New Roman"/>
        <family val="1"/>
      </rPr>
      <t xml:space="preserve">; </t>
    </r>
    <r>
      <rPr>
        <i/>
        <u/>
        <sz val="10"/>
        <color theme="1"/>
        <rFont val="Times New Roman"/>
        <family val="1"/>
      </rPr>
      <t>Airfare</t>
    </r>
    <r>
      <rPr>
        <i/>
        <sz val="10"/>
        <color theme="1"/>
        <rFont val="Times New Roman"/>
        <family val="1"/>
      </rPr>
      <t>= $350 RT from MSP to Tucson, AZ/person x 10 person =</t>
    </r>
    <r>
      <rPr>
        <b/>
        <i/>
        <sz val="10"/>
        <color theme="1"/>
        <rFont val="Times New Roman"/>
        <family val="1"/>
      </rPr>
      <t>$3,500</t>
    </r>
    <r>
      <rPr>
        <i/>
        <sz val="10"/>
        <color theme="1"/>
        <rFont val="Times New Roman"/>
        <family val="1"/>
      </rPr>
      <t xml:space="preserve">; </t>
    </r>
    <r>
      <rPr>
        <i/>
        <u/>
        <sz val="10"/>
        <color theme="1"/>
        <rFont val="Times New Roman"/>
        <family val="1"/>
      </rPr>
      <t>Baggage</t>
    </r>
    <r>
      <rPr>
        <i/>
        <sz val="10"/>
        <color theme="1"/>
        <rFont val="Times New Roman"/>
        <family val="1"/>
      </rPr>
      <t xml:space="preserve"> $100 RT x 10 person = </t>
    </r>
    <r>
      <rPr>
        <b/>
        <i/>
        <sz val="10"/>
        <color theme="1"/>
        <rFont val="Times New Roman"/>
        <family val="1"/>
      </rPr>
      <t>$1,000</t>
    </r>
    <r>
      <rPr>
        <i/>
        <sz val="10"/>
        <color theme="1"/>
        <rFont val="Times New Roman"/>
        <family val="1"/>
      </rPr>
      <t xml:space="preserve">;  AZ </t>
    </r>
    <r>
      <rPr>
        <i/>
        <u/>
        <sz val="10"/>
        <color theme="1"/>
        <rFont val="Times New Roman"/>
        <family val="1"/>
      </rPr>
      <t xml:space="preserve">per diem </t>
    </r>
    <r>
      <rPr>
        <i/>
        <sz val="10"/>
        <color theme="1"/>
        <rFont val="Times New Roman"/>
        <family val="1"/>
      </rPr>
      <t xml:space="preserve">meals = $74/day and lodging = $158/night for a total=$232 for one person. For 10 persons: $232 x 10 = $2,230 x 4 nights = </t>
    </r>
    <r>
      <rPr>
        <b/>
        <i/>
        <sz val="10"/>
        <color theme="1"/>
        <rFont val="Times New Roman"/>
        <family val="1"/>
      </rPr>
      <t>$8920;</t>
    </r>
    <r>
      <rPr>
        <i/>
        <sz val="10"/>
        <color theme="1"/>
        <rFont val="Times New Roman"/>
        <family val="1"/>
      </rPr>
      <t xml:space="preserve">  (April 13 arrive, leave on April 17 to MSP); </t>
    </r>
    <r>
      <rPr>
        <i/>
        <u/>
        <sz val="10"/>
        <color theme="1"/>
        <rFont val="Times New Roman"/>
        <family val="1"/>
      </rPr>
      <t>Ubers</t>
    </r>
    <r>
      <rPr>
        <i/>
        <sz val="10"/>
        <color theme="1"/>
        <rFont val="Times New Roman"/>
        <family val="1"/>
      </rPr>
      <t xml:space="preserve">: $70 RT x 2 person per car x 5=$700;  Total Data Trip=$20,700 x 4 years=.$82,800  </t>
    </r>
  </si>
  <si>
    <t>Travel for Data Conference /STEM Oral/PodiumPresentations (TBD):</t>
  </si>
  <si>
    <r>
      <rPr>
        <i/>
        <sz val="10"/>
        <color rgb="FF000000"/>
        <rFont val="Times New Roman"/>
      </rPr>
      <t xml:space="preserve">Travel Per Conference: Justification: Students and collaborators will need to participate in </t>
    </r>
    <r>
      <rPr>
        <b/>
        <i/>
        <sz val="10"/>
        <color rgb="FF000000"/>
        <rFont val="Times New Roman"/>
      </rPr>
      <t>STEM conferences 1) American Indian Science &amp; Engineering Society</t>
    </r>
    <r>
      <rPr>
        <i/>
        <sz val="10"/>
        <color rgb="FF000000"/>
        <rFont val="Times New Roman"/>
      </rPr>
      <t xml:space="preserve">. 2) </t>
    </r>
    <r>
      <rPr>
        <b/>
        <i/>
        <sz val="10"/>
        <color rgb="FF000000"/>
        <rFont val="Times New Roman"/>
      </rPr>
      <t>ISPOR—The Professional Society for Health Economics and Outcomes Research (HEOR).</t>
    </r>
    <r>
      <rPr>
        <i/>
        <sz val="10"/>
        <color rgb="FF000000"/>
        <rFont val="Times New Roman"/>
      </rPr>
      <t xml:space="preserve"> ISPOR leads global economies for research. ISPOR is the leading source for scientific conferences, peer-reviewed and MEDLINE®-indexed publications, good practices guidance, education, collaboration, and tools/resources in the HEOR field. Standard estimated Registration Fee $600, Airfare $600 RT, Baggage $100, per diem $319, Rental car $115/day x 3 days = $345 $600+$600+$100+$319+$345= $1,964 Per person. For 10 persons @ 2 conference per year for 5 years = $1,964 x 2 conference = $3,928 x 10 person = $39,280 x 5 years = $196,400</t>
    </r>
  </si>
  <si>
    <t xml:space="preserve">Travel conference </t>
  </si>
  <si>
    <t xml:space="preserve">Justification:  Travel:  Airfare= $600 RT from OKC and Duluth  to TBD location x 2 persons =$1,200; Baggage $100 RT x 2 persons = $200;  High per diem meals = $74/day and lodging = $158/night for a total = $232 for one person. For 2 persons: $232 x 2= $464 x 4 nights = $928; Ubers: $70 RT x 2 person per car x  = $140. Total Data Trip to  TBD location =$2,342 </t>
  </si>
  <si>
    <t>AAIP, IHEART</t>
  </si>
  <si>
    <t>Travel conference for  NSF Grant Strategic Dissemination AI Infrastructure Meeting TBD, Required per grant</t>
  </si>
  <si>
    <t xml:space="preserve">Justification: 1 PI, CSO and 2 Co-PIs  Airfare= $600 RT from OKC and Duluth to TBD locationperson x 2 persons =$1,200; Baggage $100 RT x 2 persons = $200;  High per diem meals = $74/day and lodging = $158/night for a total = $232 for one person. For 2 persons: $232 x 2= $464 x 4 nights = $928; Ubers: $70 RT x 2 person per car x  = $140. Total Data Trip to  TBD location =$2,342 x 5 years= $11,710 </t>
  </si>
  <si>
    <t>D.</t>
  </si>
  <si>
    <t xml:space="preserve">Mileage  </t>
  </si>
  <si>
    <t>1000 miles/mo x 12mo= 12,000mi per year  x 0.70 per mile = $8,400 x 5 year = $42,000</t>
  </si>
  <si>
    <t xml:space="preserve">Rent </t>
  </si>
  <si>
    <t xml:space="preserve">Justification: AAIP rents office space. AAIP requires additional space since downgrading post COVID. With  eight (8) additional employees to meet  new workforce demand, the current space of 2,500 x 3,000 sf will increase costs by 20%. Rent amount requested to meet increased need = $3,000 per month x 12 months = $36,000 per year x 4 years= $144,000 +2 months @$3,000/month = $7,200 = $144,000 + $7,200 =$151,200 </t>
  </si>
  <si>
    <t>Repairs, Maintenance - Technology</t>
  </si>
  <si>
    <t>Justification: For ongoing maintenance, service contracts, or minor, non-capitalized repairs to existing equipment.$2000 per year x 5 years = $10,000</t>
  </si>
  <si>
    <t>F.</t>
  </si>
  <si>
    <t>Supplies, Office</t>
  </si>
  <si>
    <t>60 months</t>
  </si>
  <si>
    <t>Justification: Miscellaneous office supplies, including stethoscopes for STEM professions.  $650/month x 12 =$7,800/year x 5 years= $39,000</t>
  </si>
  <si>
    <t>G.</t>
  </si>
  <si>
    <t xml:space="preserve">Supplies - Computer/Printer/Security Software </t>
  </si>
  <si>
    <t>MAC Laptop = $1,500 x 8=$12,000; $800 x 4=$3,200; Desktop $3,000 x 6 = $18,000; $1,500 x 8=$12,000= $45,200 Total</t>
  </si>
  <si>
    <t>Microsoft Office Professional</t>
  </si>
  <si>
    <t>AVG Protection (for 10 devices)</t>
  </si>
  <si>
    <t>Dell monitor $190x20 stations</t>
  </si>
  <si>
    <t>Cellphone = $500 iPhone, or google pixel, or samsung galaxy x 12 = $6000 x 2 = 12,000</t>
  </si>
  <si>
    <t>Asurion Cellphone Insurance $80 per cellphone per person per year, $80 x 12 = $960 for 12 persons per year $960 x 5 = $4,800 for 22 persons for 5 years</t>
  </si>
  <si>
    <t>Cellphone accessories , case = $15, screen protector = $20 $15+$20=$35 per person x 12 = $420 for 12 persons</t>
  </si>
  <si>
    <r>
      <rPr>
        <b/>
        <sz val="10"/>
        <rFont val="Times New Roman"/>
        <family val="1"/>
      </rPr>
      <t>Software</t>
    </r>
    <r>
      <rPr>
        <sz val="10"/>
        <rFont val="Times New Roman"/>
        <family val="1"/>
      </rPr>
      <t xml:space="preserve"> </t>
    </r>
  </si>
  <si>
    <t>NVivo Teams version 15 qualitative software: Supports analyzing various data types, including text, audio, video, and images. Cost $2,500 per year per organization  x 5 years = $10,000</t>
  </si>
  <si>
    <t xml:space="preserve">IHEART </t>
  </si>
  <si>
    <t>IBM SPSS license for quantitative data analysis program for 12 months</t>
  </si>
  <si>
    <t>Printer: Epson WF EmC7100 MFP = $2150</t>
  </si>
  <si>
    <t>Justification: Good efficient printer for main office to print and share reports for dissemination</t>
  </si>
  <si>
    <t>Printer: HP LaserJet Pro  M479fdw Wireless Color Laser</t>
  </si>
  <si>
    <t>Ink Cartridges HP LaserJet Pro (4 colors) 414X Black XL, Cyan, Yellow, and Red= $150 per quarter x 4 quarters/yr= $600per year x 5 years=$3,000</t>
  </si>
  <si>
    <t>Total Ink Supplies = $15, 270</t>
  </si>
  <si>
    <t>H.</t>
  </si>
  <si>
    <t>Peripherals</t>
  </si>
  <si>
    <t>Device mouse</t>
  </si>
  <si>
    <t>32 GB Jump Drives</t>
  </si>
  <si>
    <t>10 pkg = 1 unit</t>
  </si>
  <si>
    <t xml:space="preserve">Charge cords $100, usb/hdmi adapter hub $35 100+35= $135 x 12 laptops= $1620 for 12 laptop cords  </t>
  </si>
  <si>
    <t xml:space="preserve">Logitech headset $35 x 8 person users for Zoom call meetings to preserve privacy. </t>
  </si>
  <si>
    <t>Printing</t>
  </si>
  <si>
    <t>Justification: Printing costs for research  posters, brochures, and  distribution materials for AAIP and IHEART presenters at peer-reviewed conference panels. $4,000 per year x 5 years = $20,000</t>
  </si>
  <si>
    <t>Software</t>
  </si>
  <si>
    <t xml:space="preserve">Zoom Business </t>
  </si>
  <si>
    <t xml:space="preserve">Justification: Monthly billing for 10 people = $13.33 x 12 months/year = $159.96per year= $799.8 x 5 years = </t>
  </si>
  <si>
    <t>Utilities</t>
  </si>
  <si>
    <t xml:space="preserve">Gas, water, electricity, heat, </t>
  </si>
  <si>
    <t>Justification: Combined AAIP and IHEART facilities request a percent of energy costs to rent office space for all utilities per year= $ 60,000 x 5 years = $300,000</t>
  </si>
  <si>
    <t>Internet</t>
  </si>
  <si>
    <t>Justification: Internet expenses for AAIP and IHEART are regular and reasonable for the non-profit AAIP and IHEART to operate. $80 per month (business) x 12 = $960 x 5 years= $4,800 in OK; $80 per month x 12 = $ 960 x 5 = years = $4,800 x 2</t>
  </si>
  <si>
    <t>Participant Support Costs</t>
  </si>
  <si>
    <t>Justification: used for support needs, books, curriculum needs for STEM students. AAIP and IHEART support students through donations. This cost will help defray costs for items such as transportation tokens, laundry and dry cleaning, career clothing for lab coats, personal protective equipment  $500 per month x 12 = $1,800 x 5 Years = $9,000. Total for AAIP and IHEART = $18,000</t>
  </si>
  <si>
    <t>Other:</t>
  </si>
  <si>
    <t xml:space="preserve">f. </t>
  </si>
  <si>
    <t>Total incentives for respondents on completion of AAIP and IHEART surveys: N=1000 respondents/surveys x $25.00 gift cards = $25,000 per year x 4 years = $100,000</t>
  </si>
  <si>
    <r>
      <rPr>
        <b/>
        <sz val="11"/>
        <rFont val="Times New Roman"/>
        <family val="1"/>
      </rPr>
      <t>Indirect Cost Rate</t>
    </r>
    <r>
      <rPr>
        <i/>
        <sz val="10"/>
        <rFont val="Times New Roman"/>
        <family val="1"/>
      </rPr>
      <t xml:space="preserve">@ 35% per negotiated rate 7/1/2025 - 6/30/2025      </t>
    </r>
  </si>
  <si>
    <t>SUBTOTAL</t>
  </si>
  <si>
    <t xml:space="preserve">Total </t>
  </si>
  <si>
    <t>Contractors/Consultants</t>
  </si>
  <si>
    <t>O.</t>
  </si>
  <si>
    <t xml:space="preserve">Justification: Contractors for Emergencies, Subject Matter Experts: Legal advisement, Cultural practices, traditional practices, teaching and training in targeted areas related to student retention; professional development for AI advancement; Education curriculum development K-12, secondary and university level teachers and medical professions faculty for content in CI for ML, LLM development; data professional training, stipends for participation in research or training programs, professional travel allowances, registration fees paid on behalf of participants or trainees in conenction with meetings, conferences, symposia and STEM training projects; temporary dependent care, per diem paid directly for participant training;  and other supportive documentation services as enumerated in SGDI policy and procedures for training. This project will follow grant compliance policies as noted in the 2 CFR 200.302(b)(3) for operation of the NSF 25-544 Category I: IHEART National Pathways Data &amp; AI Infrastructure . </t>
  </si>
  <si>
    <t>Total Project Costs</t>
  </si>
  <si>
    <t>SGDI</t>
  </si>
  <si>
    <t>AAIP (&amp; IHEART)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</si>
</sst>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8">
    <font>
      <sz val="11"/>
      <color theme="1"/>
      <name val="Aptos Narrow"/>
      <family val="2"/>
      <scheme val="minor"/>
    </font>
    <font>
      <sz val="11"/>
      <color theme="1"/>
      <name val="Aptos Narrow"/>
      <family val="2"/>
      <scheme val="minor"/>
    </font>
    <font>
      <i/>
      <sz val="11"/>
      <color rgb="FF7F7F7F"/>
      <name val="Aptos Narrow"/>
      <family val="2"/>
      <scheme val="minor"/>
    </font>
    <font>
      <b/>
      <sz val="10"/>
      <color theme="1"/>
      <name val="Arial Narrow"/>
      <family val="2"/>
    </font>
    <font>
      <sz val="11"/>
      <color theme="1"/>
      <name val="Times New Roman"/>
      <family val="1"/>
    </font>
    <font>
      <sz val="10"/>
      <color theme="1"/>
      <name val="Times New Roman"/>
      <family val="1"/>
    </font>
    <font>
      <b/>
      <sz val="10"/>
      <color theme="1"/>
      <name val="Times New Roman"/>
      <family val="1"/>
    </font>
    <font>
      <i/>
      <sz val="10"/>
      <color theme="1"/>
      <name val="Times New Roman"/>
      <family val="1"/>
    </font>
    <font>
      <i/>
      <u val="singleAccounting"/>
      <sz val="10"/>
      <color theme="1"/>
      <name val="Times New Roman"/>
      <family val="1"/>
    </font>
    <font>
      <b/>
      <i/>
      <sz val="10"/>
      <color theme="1"/>
      <name val="Times New Roman"/>
      <family val="1"/>
    </font>
    <font>
      <sz val="10"/>
      <name val="Times New Roman"/>
      <family val="1"/>
    </font>
    <font>
      <b/>
      <sz val="10"/>
      <name val="Times New Roman"/>
      <family val="1"/>
    </font>
    <font>
      <b/>
      <u val="doubleAccounting"/>
      <sz val="10"/>
      <color theme="1"/>
      <name val="Times New Roman"/>
      <family val="1"/>
    </font>
    <font>
      <u val="doubleAccounting"/>
      <sz val="10"/>
      <color theme="1"/>
      <name val="Times New Roman"/>
      <family val="1"/>
    </font>
    <font>
      <i/>
      <u/>
      <sz val="10"/>
      <color theme="1"/>
      <name val="Times New Roman"/>
      <family val="1"/>
    </font>
    <font>
      <i/>
      <sz val="10"/>
      <name val="Times New Roman"/>
      <family val="1"/>
    </font>
    <font>
      <i/>
      <sz val="10"/>
      <color rgb="FF0A0A0A"/>
      <name val="Times New Roman"/>
      <family val="1"/>
    </font>
    <font>
      <sz val="11"/>
      <name val="Times New Roman"/>
      <family val="1"/>
    </font>
    <font>
      <b/>
      <sz val="11"/>
      <color theme="1"/>
      <name val="Times New Roman"/>
      <family val="1"/>
    </font>
    <font>
      <b/>
      <sz val="12"/>
      <color theme="1"/>
      <name val="Times New Roman"/>
      <family val="1"/>
    </font>
    <font>
      <sz val="12"/>
      <color theme="1"/>
      <name val="Times New Roman"/>
      <family val="1"/>
    </font>
    <font>
      <b/>
      <u/>
      <sz val="10"/>
      <color theme="1"/>
      <name val="Times New Roman"/>
      <family val="1"/>
    </font>
    <font>
      <i/>
      <sz val="11"/>
      <color theme="1"/>
      <name val="Times New Roman"/>
      <family val="1"/>
    </font>
    <font>
      <b/>
      <sz val="11"/>
      <name val="Times New Roman"/>
      <family val="1"/>
    </font>
    <font>
      <b/>
      <sz val="10"/>
      <color rgb="FF000000"/>
      <name val="Times New Roman"/>
    </font>
    <font>
      <sz val="10"/>
      <color rgb="FF000000"/>
      <name val="Times New Roman"/>
    </font>
    <font>
      <i/>
      <sz val="10"/>
      <color rgb="FF000000"/>
      <name val="Times New Roman"/>
    </font>
    <font>
      <b/>
      <i/>
      <sz val="10"/>
      <color rgb="FF000000"/>
      <name val="Times New Roman"/>
    </font>
  </fonts>
  <fills count="2">
    <fill>
      <patternFill patternType="none"/>
    </fill>
    <fill>
      <patternFill patternType="gray125"/>
    </fill>
  </fills>
  <borders count="2">
    <border>
      <left/>
      <right/>
      <top/>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5">
    <xf numFmtId="0" fontId="0" fillId="0" borderId="0" xfId="0"/>
    <xf numFmtId="44" fontId="3" fillId="0" borderId="0" xfId="1" applyNumberFormat="1" applyFont="1"/>
    <xf numFmtId="0" fontId="4" fillId="0" borderId="0" xfId="0" applyFont="1"/>
    <xf numFmtId="0" fontId="5" fillId="0" borderId="0" xfId="0" applyFont="1"/>
    <xf numFmtId="44" fontId="5" fillId="0" borderId="0" xfId="0" applyNumberFormat="1" applyFont="1"/>
    <xf numFmtId="9" fontId="5" fillId="0" borderId="0" xfId="1" applyFont="1"/>
    <xf numFmtId="0" fontId="6" fillId="0" borderId="0" xfId="0" applyFont="1" applyAlignment="1">
      <alignment horizontal="center"/>
    </xf>
    <xf numFmtId="44" fontId="6" fillId="0" borderId="0" xfId="0" applyNumberFormat="1" applyFont="1"/>
    <xf numFmtId="0" fontId="5" fillId="0" borderId="0" xfId="0" applyFont="1" applyAlignment="1">
      <alignment horizontal="center"/>
    </xf>
    <xf numFmtId="44" fontId="5" fillId="0" borderId="0" xfId="0" applyNumberFormat="1" applyFont="1" applyAlignment="1">
      <alignment horizontal="center"/>
    </xf>
    <xf numFmtId="44" fontId="6" fillId="0" borderId="0" xfId="0" applyNumberFormat="1" applyFont="1" applyAlignment="1">
      <alignment horizontal="center"/>
    </xf>
    <xf numFmtId="0" fontId="7" fillId="0" borderId="0" xfId="0" applyFont="1"/>
    <xf numFmtId="0" fontId="7" fillId="0" borderId="0" xfId="0" applyFont="1" applyAlignment="1">
      <alignment horizontal="center"/>
    </xf>
    <xf numFmtId="44" fontId="8" fillId="0" borderId="0" xfId="0" applyNumberFormat="1" applyFont="1" applyAlignment="1">
      <alignment horizontal="center" wrapText="1"/>
    </xf>
    <xf numFmtId="9" fontId="8" fillId="0" borderId="0" xfId="1" applyFont="1" applyAlignment="1">
      <alignment horizontal="center" wrapText="1"/>
    </xf>
    <xf numFmtId="0" fontId="9" fillId="0" borderId="0" xfId="0" applyFont="1"/>
    <xf numFmtId="44" fontId="5" fillId="0" borderId="0" xfId="0" applyNumberFormat="1" applyFont="1" applyAlignment="1">
      <alignment wrapText="1"/>
    </xf>
    <xf numFmtId="0" fontId="5" fillId="0" borderId="0" xfId="0" applyFont="1" applyAlignment="1">
      <alignment wrapText="1"/>
    </xf>
    <xf numFmtId="0" fontId="5" fillId="0" borderId="0" xfId="1" applyNumberFormat="1" applyFont="1"/>
    <xf numFmtId="0" fontId="6" fillId="0" borderId="0" xfId="0" applyFont="1"/>
    <xf numFmtId="0" fontId="6" fillId="0" borderId="1" xfId="0" applyFont="1" applyBorder="1" applyAlignment="1">
      <alignment horizontal="right" wrapText="1"/>
    </xf>
    <xf numFmtId="44" fontId="5" fillId="0" borderId="0" xfId="0" applyNumberFormat="1" applyFont="1" applyAlignment="1">
      <alignment horizontal="right"/>
    </xf>
    <xf numFmtId="0" fontId="5" fillId="0" borderId="0" xfId="0" applyFont="1" applyAlignment="1">
      <alignment horizontal="right" wrapText="1"/>
    </xf>
    <xf numFmtId="0" fontId="5" fillId="0" borderId="0" xfId="0" applyFont="1" applyAlignment="1">
      <alignment horizontal="right"/>
    </xf>
    <xf numFmtId="44" fontId="6" fillId="0" borderId="0" xfId="0" applyNumberFormat="1" applyFont="1" applyAlignment="1">
      <alignment horizontal="right"/>
    </xf>
    <xf numFmtId="0" fontId="6" fillId="0" borderId="0" xfId="0" applyFont="1" applyAlignment="1">
      <alignment horizontal="right"/>
    </xf>
    <xf numFmtId="44" fontId="10" fillId="0" borderId="0" xfId="0" applyNumberFormat="1" applyFont="1"/>
    <xf numFmtId="44" fontId="11" fillId="0" borderId="0" xfId="0" applyNumberFormat="1" applyFont="1"/>
    <xf numFmtId="44" fontId="12" fillId="0" borderId="0" xfId="0" applyNumberFormat="1" applyFont="1" applyAlignment="1">
      <alignment horizontal="right"/>
    </xf>
    <xf numFmtId="0" fontId="13" fillId="0" borderId="0" xfId="0" applyFont="1" applyAlignment="1">
      <alignment horizontal="right"/>
    </xf>
    <xf numFmtId="44" fontId="12" fillId="0" borderId="0" xfId="0" applyNumberFormat="1" applyFont="1"/>
    <xf numFmtId="0" fontId="6" fillId="0" borderId="0" xfId="0" applyFont="1" applyAlignment="1">
      <alignment horizontal="left" wrapText="1"/>
    </xf>
    <xf numFmtId="0" fontId="7" fillId="0" borderId="0" xfId="0" applyFont="1" applyAlignment="1">
      <alignment horizontal="right" wrapText="1"/>
    </xf>
    <xf numFmtId="0" fontId="5" fillId="0" borderId="0" xfId="0" applyFont="1" applyAlignment="1">
      <alignment horizontal="left" wrapText="1"/>
    </xf>
    <xf numFmtId="0" fontId="4" fillId="0" borderId="0" xfId="0" applyFont="1" applyAlignment="1">
      <alignment horizontal="left" wrapText="1"/>
    </xf>
    <xf numFmtId="0" fontId="15" fillId="0" borderId="0" xfId="2" applyFont="1" applyFill="1" applyAlignment="1">
      <alignment horizontal="right" wrapText="1"/>
    </xf>
    <xf numFmtId="0" fontId="10" fillId="0" borderId="0" xfId="2" applyFont="1" applyFill="1" applyAlignment="1">
      <alignment horizontal="right" wrapText="1"/>
    </xf>
    <xf numFmtId="0" fontId="16" fillId="0" borderId="0" xfId="0" applyFont="1" applyAlignment="1">
      <alignment horizontal="right" wrapText="1"/>
    </xf>
    <xf numFmtId="0" fontId="15" fillId="0" borderId="0" xfId="2" applyFont="1" applyAlignment="1">
      <alignment horizontal="right" wrapText="1"/>
    </xf>
    <xf numFmtId="0" fontId="15" fillId="0" borderId="0" xfId="2" applyFont="1" applyAlignment="1">
      <alignment horizontal="right"/>
    </xf>
    <xf numFmtId="0" fontId="10" fillId="0" borderId="0" xfId="2" applyFont="1" applyAlignment="1">
      <alignment horizontal="left"/>
    </xf>
    <xf numFmtId="0" fontId="17" fillId="0" borderId="0" xfId="2" applyFont="1" applyAlignment="1">
      <alignment horizontal="left" wrapText="1"/>
    </xf>
    <xf numFmtId="44" fontId="13" fillId="0" borderId="0" xfId="0" applyNumberFormat="1" applyFont="1"/>
    <xf numFmtId="0" fontId="17" fillId="0" borderId="0" xfId="2" applyFont="1" applyAlignment="1">
      <alignment horizontal="left"/>
    </xf>
    <xf numFmtId="0" fontId="18" fillId="0" borderId="0" xfId="0" applyFont="1" applyAlignment="1">
      <alignment horizontal="right"/>
    </xf>
    <xf numFmtId="44" fontId="6" fillId="0" borderId="0" xfId="1" applyNumberFormat="1" applyFont="1"/>
    <xf numFmtId="44" fontId="5" fillId="0" borderId="0" xfId="1" applyNumberFormat="1" applyFont="1"/>
    <xf numFmtId="44" fontId="21" fillId="0" borderId="0" xfId="0" applyNumberFormat="1" applyFont="1"/>
    <xf numFmtId="44" fontId="4" fillId="0" borderId="0" xfId="0" applyNumberFormat="1" applyFont="1"/>
    <xf numFmtId="0" fontId="22" fillId="0" borderId="0" xfId="0" applyFont="1" applyAlignment="1">
      <alignment horizontal="right"/>
    </xf>
    <xf numFmtId="44" fontId="10" fillId="0" borderId="0" xfId="2" applyNumberFormat="1" applyFont="1"/>
    <xf numFmtId="0" fontId="19" fillId="0" borderId="0" xfId="0" applyFont="1" applyAlignment="1">
      <alignment horizontal="right"/>
    </xf>
    <xf numFmtId="0" fontId="20" fillId="0" borderId="0" xfId="0" applyFont="1" applyAlignment="1">
      <alignment horizontal="right"/>
    </xf>
    <xf numFmtId="0" fontId="19" fillId="0" borderId="0" xfId="0" applyFont="1"/>
    <xf numFmtId="0" fontId="7" fillId="0" borderId="0" xfId="0" applyFont="1" applyAlignment="1">
      <alignment horizontal="left" wrapText="1"/>
    </xf>
    <xf numFmtId="0" fontId="5" fillId="0" borderId="1" xfId="0" applyFont="1" applyBorder="1" applyAlignment="1">
      <alignment horizontal="right" wrapText="1"/>
    </xf>
    <xf numFmtId="0" fontId="5" fillId="0" borderId="0" xfId="0" applyFont="1" applyAlignment="1">
      <alignment horizontal="center" wrapText="1"/>
    </xf>
    <xf numFmtId="0" fontId="5" fillId="0" borderId="0" xfId="0" applyFont="1" applyAlignment="1">
      <alignment horizontal="left" vertical="center" wrapText="1"/>
    </xf>
    <xf numFmtId="0" fontId="5" fillId="0" borderId="0" xfId="0" applyFont="1" applyAlignment="1">
      <alignment horizontal="left" wrapText="1"/>
    </xf>
    <xf numFmtId="0" fontId="6" fillId="0" borderId="0" xfId="0" applyFont="1" applyAlignment="1">
      <alignment horizontal="center"/>
    </xf>
    <xf numFmtId="0" fontId="5" fillId="0" borderId="0" xfId="0" applyFont="1" applyAlignment="1">
      <alignment horizontal="center"/>
    </xf>
    <xf numFmtId="0" fontId="24" fillId="0" borderId="1" xfId="0" applyFont="1" applyBorder="1" applyAlignment="1">
      <alignment horizontal="right" wrapText="1"/>
    </xf>
    <xf numFmtId="0" fontId="25" fillId="0" borderId="0" xfId="0" applyFont="1" applyAlignment="1">
      <alignment horizontal="right" wrapText="1"/>
    </xf>
    <xf numFmtId="0" fontId="25" fillId="0" borderId="0" xfId="0" applyFont="1" applyAlignment="1">
      <alignment horizontal="left" wrapText="1"/>
    </xf>
    <xf numFmtId="0" fontId="26" fillId="0" borderId="0" xfId="0" applyFont="1" applyAlignment="1">
      <alignment horizontal="right" wrapText="1"/>
    </xf>
  </cellXfs>
  <cellStyles count="3">
    <cellStyle name="Explanatory Text" xfId="2" builtinId="5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4733-F317-41B3-AE4D-3F15617941E0}">
  <dimension ref="A1:O138"/>
  <sheetViews>
    <sheetView tabSelected="1" topLeftCell="A115" workbookViewId="0">
      <selection activeCell="E117" sqref="E117"/>
    </sheetView>
  </sheetViews>
  <sheetFormatPr defaultColWidth="8.85546875" defaultRowHeight="15"/>
  <cols>
    <col min="1" max="1" width="12" style="2" customWidth="1"/>
    <col min="2" max="2" width="13.7109375" style="2" customWidth="1"/>
    <col min="3" max="3" width="13.140625" style="2" customWidth="1"/>
    <col min="4" max="4" width="33.85546875" style="2" customWidth="1"/>
    <col min="5" max="5" width="16.140625" style="2" customWidth="1"/>
    <col min="6" max="6" width="17.140625" style="2" customWidth="1"/>
    <col min="7" max="7" width="15.42578125" style="2" customWidth="1"/>
    <col min="8" max="8" width="16.28515625" style="48" customWidth="1"/>
    <col min="9" max="9" width="14.7109375" style="48" customWidth="1"/>
    <col min="10" max="11" width="15" style="48" customWidth="1"/>
    <col min="12" max="12" width="15" style="2" customWidth="1"/>
    <col min="13" max="13" width="9.7109375" style="2" customWidth="1"/>
    <col min="14" max="16384" width="8.85546875" style="2"/>
  </cols>
  <sheetData>
    <row r="1" spans="1:13">
      <c r="B1" s="3"/>
      <c r="C1" s="3"/>
      <c r="D1" s="3"/>
      <c r="E1" s="4"/>
      <c r="F1" s="3"/>
      <c r="G1" s="4"/>
      <c r="H1" s="4"/>
      <c r="I1" s="4"/>
      <c r="J1" s="4"/>
      <c r="K1" s="4"/>
      <c r="L1" s="4"/>
      <c r="M1" s="5"/>
    </row>
    <row r="2" spans="1:13">
      <c r="B2" s="3"/>
      <c r="C2" s="3"/>
      <c r="D2" s="59" t="s">
        <v>0</v>
      </c>
      <c r="E2" s="59"/>
      <c r="F2" s="59"/>
      <c r="G2" s="59"/>
      <c r="H2" s="59"/>
      <c r="I2" s="7"/>
      <c r="J2" s="7"/>
      <c r="K2" s="7"/>
      <c r="L2" s="4"/>
      <c r="M2" s="5"/>
    </row>
    <row r="3" spans="1:13">
      <c r="B3" s="3"/>
      <c r="C3" s="3"/>
      <c r="D3" s="60" t="s">
        <v>1</v>
      </c>
      <c r="E3" s="60"/>
      <c r="F3" s="60"/>
      <c r="G3" s="60"/>
      <c r="H3" s="60"/>
      <c r="I3" s="60"/>
      <c r="J3" s="9"/>
      <c r="K3" s="9"/>
      <c r="L3" s="4"/>
      <c r="M3" s="5"/>
    </row>
    <row r="4" spans="1:13">
      <c r="B4" s="3"/>
      <c r="C4" s="3"/>
      <c r="D4" s="59" t="s">
        <v>2</v>
      </c>
      <c r="E4" s="59"/>
      <c r="F4" s="59"/>
      <c r="G4" s="59"/>
      <c r="H4" s="59"/>
      <c r="I4" s="59"/>
      <c r="J4" s="10"/>
      <c r="K4" s="10"/>
      <c r="L4" s="4"/>
      <c r="M4" s="5"/>
    </row>
    <row r="5" spans="1:13">
      <c r="B5" s="3"/>
      <c r="C5" s="3"/>
      <c r="D5" s="60" t="s">
        <v>3</v>
      </c>
      <c r="E5" s="60"/>
      <c r="F5" s="60"/>
      <c r="G5" s="60"/>
      <c r="H5" s="60"/>
      <c r="I5" s="60"/>
      <c r="J5" s="9"/>
      <c r="K5" s="9"/>
      <c r="L5" s="4"/>
      <c r="M5" s="5"/>
    </row>
    <row r="6" spans="1:13" ht="75">
      <c r="B6" s="11" t="s">
        <v>4</v>
      </c>
      <c r="C6" s="3"/>
      <c r="D6" s="12" t="s">
        <v>5</v>
      </c>
      <c r="E6" s="9" t="s">
        <v>6</v>
      </c>
      <c r="F6" s="12" t="s">
        <v>7</v>
      </c>
      <c r="G6" s="13" t="s">
        <v>8</v>
      </c>
      <c r="H6" s="13" t="s">
        <v>9</v>
      </c>
      <c r="I6" s="13" t="s">
        <v>10</v>
      </c>
      <c r="J6" s="13" t="s">
        <v>11</v>
      </c>
      <c r="K6" s="13" t="s">
        <v>12</v>
      </c>
      <c r="L6" s="13" t="s">
        <v>13</v>
      </c>
      <c r="M6" s="14" t="s">
        <v>14</v>
      </c>
    </row>
    <row r="7" spans="1:13">
      <c r="B7" s="3"/>
      <c r="C7" s="15" t="s">
        <v>15</v>
      </c>
      <c r="D7" s="11"/>
      <c r="E7" s="4"/>
      <c r="F7" s="3"/>
      <c r="G7" s="16"/>
      <c r="H7" s="4"/>
      <c r="I7" s="4"/>
      <c r="J7" s="4"/>
      <c r="K7" s="4"/>
      <c r="L7" s="4"/>
      <c r="M7" s="5"/>
    </row>
    <row r="8" spans="1:13">
      <c r="B8" s="3"/>
      <c r="C8" s="3"/>
      <c r="D8" s="3" t="s">
        <v>16</v>
      </c>
      <c r="E8" s="4" t="s">
        <v>17</v>
      </c>
      <c r="F8" s="11" t="s">
        <v>18</v>
      </c>
      <c r="G8" s="4"/>
      <c r="H8" s="4"/>
      <c r="I8" s="4"/>
      <c r="J8" s="4"/>
      <c r="K8" s="4"/>
      <c r="L8" s="4">
        <v>25200000</v>
      </c>
      <c r="M8" s="5">
        <v>1</v>
      </c>
    </row>
    <row r="9" spans="1:13">
      <c r="B9" s="3"/>
      <c r="C9" s="3"/>
      <c r="D9" s="17"/>
      <c r="E9" s="4">
        <v>25200000</v>
      </c>
      <c r="F9" s="18"/>
      <c r="G9" s="4"/>
      <c r="H9" s="4"/>
      <c r="I9" s="4"/>
      <c r="J9" s="4"/>
      <c r="K9" s="4"/>
      <c r="L9" s="4">
        <v>25200000</v>
      </c>
      <c r="M9" s="5">
        <v>1</v>
      </c>
    </row>
    <row r="10" spans="1:13">
      <c r="B10" s="3"/>
      <c r="C10" s="3"/>
      <c r="D10" s="3"/>
      <c r="E10" s="4"/>
      <c r="F10" s="18"/>
      <c r="G10" s="4"/>
      <c r="H10" s="4"/>
      <c r="I10" s="4"/>
      <c r="J10" s="4"/>
      <c r="K10" s="4"/>
      <c r="L10" s="4"/>
      <c r="M10" s="5"/>
    </row>
    <row r="11" spans="1:13">
      <c r="B11" s="3"/>
      <c r="C11" s="19" t="s">
        <v>19</v>
      </c>
      <c r="D11" s="11"/>
      <c r="E11" s="4"/>
      <c r="F11" s="18"/>
      <c r="G11" s="4"/>
      <c r="H11" s="4"/>
      <c r="I11" s="4"/>
      <c r="J11" s="4"/>
      <c r="K11" s="4"/>
      <c r="L11" s="4"/>
      <c r="M11" s="5"/>
    </row>
    <row r="12" spans="1:13">
      <c r="A12" s="2" t="s">
        <v>20</v>
      </c>
      <c r="B12" s="3">
        <v>6020</v>
      </c>
      <c r="C12" s="3"/>
      <c r="D12" s="3" t="s">
        <v>21</v>
      </c>
      <c r="E12" s="4"/>
      <c r="F12" s="18"/>
      <c r="G12" s="4"/>
      <c r="H12" s="4"/>
      <c r="I12" s="4"/>
      <c r="J12" s="4"/>
      <c r="K12" s="4"/>
      <c r="L12" s="4"/>
      <c r="M12" s="5"/>
    </row>
    <row r="13" spans="1:13" ht="153.75" customHeight="1">
      <c r="B13" s="3"/>
      <c r="C13" s="3" t="s">
        <v>22</v>
      </c>
      <c r="D13" s="20" t="s">
        <v>23</v>
      </c>
      <c r="E13" s="21">
        <v>344250</v>
      </c>
      <c r="F13" s="18">
        <v>1</v>
      </c>
      <c r="G13" s="4">
        <v>20250</v>
      </c>
      <c r="H13" s="4">
        <v>81000</v>
      </c>
      <c r="I13" s="4">
        <v>81000</v>
      </c>
      <c r="J13" s="4">
        <v>81000</v>
      </c>
      <c r="K13" s="4">
        <v>81000</v>
      </c>
      <c r="L13" s="7">
        <f t="shared" ref="L13:L17" si="0">SUM(G13:K13)</f>
        <v>344250</v>
      </c>
      <c r="M13" s="5"/>
    </row>
    <row r="14" spans="1:13" ht="147" customHeight="1">
      <c r="B14" s="3"/>
      <c r="C14" s="3" t="s">
        <v>24</v>
      </c>
      <c r="D14" s="55" t="s">
        <v>25</v>
      </c>
      <c r="E14" s="21">
        <v>344250</v>
      </c>
      <c r="F14" s="18"/>
      <c r="G14" s="4">
        <v>20250</v>
      </c>
      <c r="H14" s="4">
        <v>81000</v>
      </c>
      <c r="I14" s="4">
        <v>81000</v>
      </c>
      <c r="J14" s="4">
        <v>81000</v>
      </c>
      <c r="K14" s="4">
        <v>81000</v>
      </c>
      <c r="L14" s="7">
        <f>SUM(G14:K14)</f>
        <v>344250</v>
      </c>
      <c r="M14" s="5"/>
    </row>
    <row r="15" spans="1:13" ht="147" customHeight="1">
      <c r="B15" s="3"/>
      <c r="C15" s="3" t="s">
        <v>22</v>
      </c>
      <c r="D15" s="61" t="s">
        <v>26</v>
      </c>
      <c r="E15" s="4">
        <v>449980</v>
      </c>
      <c r="F15" s="18">
        <v>1</v>
      </c>
      <c r="G15" s="4">
        <v>26000</v>
      </c>
      <c r="H15" s="4">
        <v>104000</v>
      </c>
      <c r="I15" s="4">
        <v>104000</v>
      </c>
      <c r="J15" s="4">
        <v>104000</v>
      </c>
      <c r="K15" s="4">
        <v>104000</v>
      </c>
      <c r="L15" s="7">
        <f>SUM(G15:K15)</f>
        <v>442000</v>
      </c>
      <c r="M15" s="5"/>
    </row>
    <row r="16" spans="1:13" ht="141.75" customHeight="1">
      <c r="B16" s="3"/>
      <c r="C16" s="3" t="s">
        <v>22</v>
      </c>
      <c r="D16" s="62" t="s">
        <v>27</v>
      </c>
      <c r="E16" s="4">
        <v>442000</v>
      </c>
      <c r="F16" s="18">
        <v>1</v>
      </c>
      <c r="G16" s="4">
        <v>26000</v>
      </c>
      <c r="H16" s="4">
        <v>104000</v>
      </c>
      <c r="I16" s="4">
        <v>104000</v>
      </c>
      <c r="J16" s="4">
        <v>104000</v>
      </c>
      <c r="K16" s="4">
        <v>104000</v>
      </c>
      <c r="L16" s="7">
        <f>SUM(G16:K16)</f>
        <v>442000</v>
      </c>
      <c r="M16" s="5"/>
    </row>
    <row r="17" spans="1:13" ht="135.75" customHeight="1">
      <c r="B17" s="3"/>
      <c r="C17" s="3" t="s">
        <v>22</v>
      </c>
      <c r="D17" s="22" t="s">
        <v>28</v>
      </c>
      <c r="E17" s="4">
        <v>442000</v>
      </c>
      <c r="F17" s="23">
        <v>1</v>
      </c>
      <c r="G17" s="4">
        <v>31200</v>
      </c>
      <c r="H17" s="4">
        <v>104000</v>
      </c>
      <c r="I17" s="4">
        <v>104000</v>
      </c>
      <c r="J17" s="4">
        <v>104000</v>
      </c>
      <c r="K17" s="4">
        <v>104000</v>
      </c>
      <c r="L17" s="7">
        <f t="shared" si="0"/>
        <v>447200</v>
      </c>
      <c r="M17" s="5"/>
    </row>
    <row r="18" spans="1:13" ht="132.75" customHeight="1">
      <c r="B18" s="3"/>
      <c r="C18" s="3" t="s">
        <v>24</v>
      </c>
      <c r="D18" s="22" t="s">
        <v>29</v>
      </c>
      <c r="E18" s="4">
        <v>442000</v>
      </c>
      <c r="F18" s="23">
        <v>1</v>
      </c>
      <c r="G18" s="4">
        <v>31200</v>
      </c>
      <c r="H18" s="4">
        <v>104000</v>
      </c>
      <c r="I18" s="4">
        <v>124800</v>
      </c>
      <c r="J18" s="4">
        <v>124800</v>
      </c>
      <c r="K18" s="4">
        <v>124800</v>
      </c>
      <c r="L18" s="7">
        <f t="shared" ref="L18:L25" si="1">SUM(G18:K18)</f>
        <v>509600</v>
      </c>
      <c r="M18" s="5"/>
    </row>
    <row r="19" spans="1:13" ht="140.25" customHeight="1">
      <c r="B19" s="3"/>
      <c r="C19" s="3" t="s">
        <v>24</v>
      </c>
      <c r="D19" s="22" t="s">
        <v>30</v>
      </c>
      <c r="E19" s="4">
        <v>442000</v>
      </c>
      <c r="F19" s="23">
        <v>1</v>
      </c>
      <c r="G19" s="4">
        <v>31200</v>
      </c>
      <c r="H19" s="4">
        <v>104000</v>
      </c>
      <c r="I19" s="4">
        <v>104000</v>
      </c>
      <c r="J19" s="4">
        <v>104000</v>
      </c>
      <c r="K19" s="4">
        <v>104000</v>
      </c>
      <c r="L19" s="7">
        <f t="shared" si="1"/>
        <v>447200</v>
      </c>
      <c r="M19" s="5"/>
    </row>
    <row r="20" spans="1:13" ht="165.75" customHeight="1">
      <c r="B20" s="3"/>
      <c r="C20" s="3" t="s">
        <v>24</v>
      </c>
      <c r="D20" s="22" t="s">
        <v>31</v>
      </c>
      <c r="E20" s="4">
        <v>442000</v>
      </c>
      <c r="F20" s="23">
        <v>1</v>
      </c>
      <c r="G20" s="4">
        <v>31200</v>
      </c>
      <c r="H20" s="4">
        <v>104000</v>
      </c>
      <c r="I20" s="4">
        <v>104000</v>
      </c>
      <c r="J20" s="4">
        <v>104000</v>
      </c>
      <c r="K20" s="4">
        <v>104000</v>
      </c>
      <c r="L20" s="7">
        <f t="shared" si="1"/>
        <v>447200</v>
      </c>
      <c r="M20" s="5"/>
    </row>
    <row r="21" spans="1:13" ht="132" customHeight="1">
      <c r="B21" s="3"/>
      <c r="C21" s="2" t="s">
        <v>24</v>
      </c>
      <c r="D21" s="62" t="s">
        <v>32</v>
      </c>
      <c r="E21" s="4">
        <v>442000</v>
      </c>
      <c r="F21" s="23">
        <v>1</v>
      </c>
      <c r="G21" s="4">
        <v>31200</v>
      </c>
      <c r="H21" s="4">
        <v>104000</v>
      </c>
      <c r="I21" s="4">
        <v>104000</v>
      </c>
      <c r="J21" s="4">
        <v>104000</v>
      </c>
      <c r="K21" s="4">
        <v>104000</v>
      </c>
      <c r="L21" s="7">
        <f t="shared" ref="L21:L22" si="2">SUM(G21:K21)</f>
        <v>447200</v>
      </c>
      <c r="M21" s="5"/>
    </row>
    <row r="22" spans="1:13" ht="133.5" customHeight="1">
      <c r="B22" s="3"/>
      <c r="C22" s="3" t="s">
        <v>24</v>
      </c>
      <c r="D22" s="22" t="s">
        <v>33</v>
      </c>
      <c r="E22" s="4">
        <v>442000</v>
      </c>
      <c r="F22" s="23">
        <v>1</v>
      </c>
      <c r="G22" s="4">
        <v>31200</v>
      </c>
      <c r="H22" s="4">
        <v>104000</v>
      </c>
      <c r="I22" s="4">
        <v>104000</v>
      </c>
      <c r="J22" s="4">
        <v>104000</v>
      </c>
      <c r="K22" s="4">
        <v>104000</v>
      </c>
      <c r="L22" s="7">
        <f t="shared" si="2"/>
        <v>447200</v>
      </c>
      <c r="M22" s="5"/>
    </row>
    <row r="23" spans="1:13" ht="141.75" customHeight="1">
      <c r="B23" s="3"/>
      <c r="C23" s="3" t="s">
        <v>34</v>
      </c>
      <c r="D23" s="22" t="s">
        <v>35</v>
      </c>
      <c r="E23" s="4">
        <v>530400</v>
      </c>
      <c r="F23" s="23">
        <v>1</v>
      </c>
      <c r="G23" s="4">
        <v>31200</v>
      </c>
      <c r="H23" s="4">
        <v>124800</v>
      </c>
      <c r="I23" s="4">
        <v>124800</v>
      </c>
      <c r="J23" s="4">
        <v>124800</v>
      </c>
      <c r="K23" s="4">
        <v>124800</v>
      </c>
      <c r="L23" s="7">
        <f t="shared" si="1"/>
        <v>530400</v>
      </c>
      <c r="M23" s="5"/>
    </row>
    <row r="24" spans="1:13" ht="135" customHeight="1">
      <c r="B24" s="3"/>
      <c r="C24" s="17" t="s">
        <v>36</v>
      </c>
      <c r="D24" s="22" t="s">
        <v>37</v>
      </c>
      <c r="E24" s="4">
        <v>425027.19999999995</v>
      </c>
      <c r="F24" s="23">
        <v>1</v>
      </c>
      <c r="G24" s="4">
        <v>25001.599999999999</v>
      </c>
      <c r="H24" s="4">
        <v>100006.39999999999</v>
      </c>
      <c r="I24" s="4">
        <v>100006.39999999999</v>
      </c>
      <c r="J24" s="4">
        <v>100006.39999999999</v>
      </c>
      <c r="K24" s="4">
        <v>100006.39999999999</v>
      </c>
      <c r="L24" s="7">
        <f t="shared" si="1"/>
        <v>425027.19999999995</v>
      </c>
      <c r="M24" s="5"/>
    </row>
    <row r="25" spans="1:13" ht="155.25" customHeight="1">
      <c r="B25" s="3"/>
      <c r="C25" s="3" t="s">
        <v>34</v>
      </c>
      <c r="D25" s="22" t="s">
        <v>38</v>
      </c>
      <c r="E25" s="4">
        <v>442000</v>
      </c>
      <c r="F25" s="23">
        <v>1</v>
      </c>
      <c r="G25" s="4">
        <v>13000</v>
      </c>
      <c r="H25" s="4">
        <v>52000</v>
      </c>
      <c r="I25" s="4">
        <v>52000</v>
      </c>
      <c r="J25" s="4">
        <v>52000</v>
      </c>
      <c r="K25" s="4">
        <v>52000</v>
      </c>
      <c r="L25" s="7">
        <f t="shared" si="1"/>
        <v>221000</v>
      </c>
      <c r="M25" s="5"/>
    </row>
    <row r="26" spans="1:13">
      <c r="B26" s="3"/>
      <c r="C26" s="3"/>
      <c r="D26" s="22" t="s">
        <v>39</v>
      </c>
      <c r="E26" s="24">
        <f>SUM(E13:E25)</f>
        <v>5629907.2000000002</v>
      </c>
      <c r="F26" s="25">
        <f>SUM(F13:F25)</f>
        <v>12</v>
      </c>
      <c r="G26" s="7">
        <f>SUM(G14:G25)</f>
        <v>328651.59999999998</v>
      </c>
      <c r="H26" s="7">
        <f>SUM(H13:H25)</f>
        <v>1270806.3999999999</v>
      </c>
      <c r="I26" s="7">
        <f>SUM(I13:I25)</f>
        <v>1291606.3999999999</v>
      </c>
      <c r="J26" s="7">
        <f>SUM(J13:J25)</f>
        <v>1291606.3999999999</v>
      </c>
      <c r="K26" s="7">
        <f>SUM(K13:K25)</f>
        <v>1291606.3999999999</v>
      </c>
      <c r="L26" s="7">
        <f>SUM(L13:L25)</f>
        <v>5494527.2000000002</v>
      </c>
      <c r="M26" s="5"/>
    </row>
    <row r="27" spans="1:13">
      <c r="A27" s="2" t="s">
        <v>40</v>
      </c>
      <c r="B27" s="3">
        <v>6030</v>
      </c>
      <c r="C27" s="3"/>
      <c r="D27" s="3" t="s">
        <v>41</v>
      </c>
      <c r="E27" s="7"/>
      <c r="F27" s="19"/>
      <c r="G27" s="4"/>
      <c r="H27" s="4"/>
      <c r="I27" s="4"/>
      <c r="J27" s="4"/>
      <c r="K27" s="4"/>
      <c r="L27" s="4"/>
      <c r="M27" s="5"/>
    </row>
    <row r="28" spans="1:13">
      <c r="B28" s="3"/>
      <c r="C28" s="3"/>
      <c r="D28" s="3" t="s">
        <v>42</v>
      </c>
      <c r="E28" s="21">
        <v>381842.65</v>
      </c>
      <c r="F28" s="23"/>
      <c r="G28" s="4" t="s">
        <v>43</v>
      </c>
      <c r="H28" s="26"/>
      <c r="I28" s="26"/>
      <c r="J28" s="26"/>
      <c r="K28" s="26"/>
      <c r="L28" s="27"/>
      <c r="M28" s="5"/>
    </row>
    <row r="29" spans="1:13">
      <c r="B29" s="3"/>
      <c r="C29" s="3"/>
      <c r="D29" s="3" t="s">
        <v>44</v>
      </c>
      <c r="E29" s="21">
        <v>99828.14</v>
      </c>
      <c r="F29" s="23"/>
      <c r="G29" s="4" t="s">
        <v>45</v>
      </c>
      <c r="H29" s="26"/>
      <c r="I29" s="26"/>
      <c r="J29" s="26"/>
      <c r="K29" s="26"/>
      <c r="L29" s="7"/>
      <c r="M29" s="5"/>
    </row>
    <row r="30" spans="1:13">
      <c r="B30" s="3"/>
      <c r="C30" s="3"/>
      <c r="D30" s="3" t="s">
        <v>46</v>
      </c>
      <c r="E30" s="21">
        <v>2310</v>
      </c>
      <c r="F30" s="23"/>
      <c r="G30" s="4" t="s">
        <v>47</v>
      </c>
      <c r="H30" s="26"/>
      <c r="I30" s="26"/>
      <c r="J30" s="26"/>
      <c r="K30" s="26"/>
      <c r="L30" s="7"/>
      <c r="M30" s="5"/>
    </row>
    <row r="31" spans="1:13">
      <c r="B31" s="3"/>
      <c r="C31" s="3"/>
      <c r="D31" s="3" t="s">
        <v>48</v>
      </c>
      <c r="E31" s="21">
        <v>24832.5</v>
      </c>
      <c r="F31" s="23"/>
      <c r="G31" s="4" t="s">
        <v>49</v>
      </c>
      <c r="H31" s="26"/>
      <c r="I31" s="26"/>
      <c r="J31" s="26"/>
      <c r="K31" s="26"/>
      <c r="L31" s="27"/>
      <c r="M31" s="5"/>
    </row>
    <row r="32" spans="1:13">
      <c r="B32" s="3"/>
      <c r="C32" s="3"/>
      <c r="D32" s="3" t="s">
        <v>50</v>
      </c>
      <c r="E32" s="21">
        <v>149742.21599999999</v>
      </c>
      <c r="F32" s="23"/>
      <c r="G32" s="4" t="s">
        <v>51</v>
      </c>
      <c r="H32" s="26"/>
      <c r="I32" s="26"/>
      <c r="J32" s="26"/>
      <c r="K32" s="26"/>
      <c r="L32" s="27"/>
      <c r="M32" s="5"/>
    </row>
    <row r="33" spans="1:15">
      <c r="B33" s="3"/>
      <c r="C33" s="3"/>
      <c r="D33" s="3" t="s">
        <v>52</v>
      </c>
      <c r="E33" s="21">
        <v>1060180</v>
      </c>
      <c r="F33" s="23"/>
      <c r="G33" s="4" t="s">
        <v>53</v>
      </c>
      <c r="H33" s="26"/>
      <c r="I33" s="26"/>
      <c r="J33" s="26"/>
      <c r="K33" s="26"/>
      <c r="L33" s="27"/>
      <c r="M33" s="5"/>
    </row>
    <row r="34" spans="1:15">
      <c r="B34" s="3"/>
      <c r="C34" s="3"/>
      <c r="D34" s="3" t="s">
        <v>54</v>
      </c>
      <c r="E34" s="21">
        <v>16500</v>
      </c>
      <c r="F34" s="23"/>
      <c r="G34" s="4" t="s">
        <v>55</v>
      </c>
      <c r="H34" s="26"/>
      <c r="I34" s="26"/>
      <c r="J34" s="26"/>
      <c r="K34" s="26"/>
      <c r="L34" s="27"/>
      <c r="M34" s="5"/>
    </row>
    <row r="35" spans="1:15">
      <c r="B35" s="3"/>
      <c r="C35" s="3"/>
      <c r="D35" s="3" t="s">
        <v>56</v>
      </c>
      <c r="E35" s="21">
        <v>4950</v>
      </c>
      <c r="F35" s="23"/>
      <c r="G35" s="4" t="s">
        <v>57</v>
      </c>
      <c r="H35" s="26"/>
      <c r="I35" s="26"/>
      <c r="J35" s="26"/>
      <c r="K35" s="26"/>
      <c r="L35" s="27"/>
      <c r="M35" s="5"/>
    </row>
    <row r="36" spans="1:15" ht="16.5">
      <c r="B36" s="3"/>
      <c r="C36" s="3"/>
      <c r="D36" s="25" t="s">
        <v>58</v>
      </c>
      <c r="E36" s="28">
        <f>SUM(E28:E35)</f>
        <v>1740185.5060000001</v>
      </c>
      <c r="F36" s="29"/>
      <c r="G36" s="30"/>
      <c r="H36" s="30"/>
      <c r="I36" s="30"/>
      <c r="J36" s="30"/>
      <c r="K36" s="30"/>
      <c r="L36" s="30"/>
      <c r="M36" s="5"/>
    </row>
    <row r="37" spans="1:15" ht="17.25" customHeight="1">
      <c r="B37" s="3"/>
      <c r="C37" s="3"/>
      <c r="D37" s="25" t="s">
        <v>59</v>
      </c>
      <c r="E37" s="24">
        <f>SUM(E26:E35)</f>
        <v>7370092.7060000002</v>
      </c>
      <c r="F37" s="25"/>
      <c r="G37" s="4" t="s">
        <v>60</v>
      </c>
      <c r="H37" s="4"/>
      <c r="I37" s="4"/>
      <c r="J37" s="4"/>
      <c r="K37" s="4"/>
      <c r="L37" s="7"/>
      <c r="M37" s="5"/>
    </row>
    <row r="38" spans="1:15" ht="18.75" customHeight="1">
      <c r="B38" s="3"/>
      <c r="C38" s="3"/>
      <c r="D38" s="25"/>
      <c r="E38" s="24"/>
      <c r="F38" s="25"/>
      <c r="G38" s="4"/>
      <c r="H38" s="4"/>
      <c r="I38" s="4"/>
      <c r="J38" s="4"/>
      <c r="K38" s="4"/>
      <c r="L38" s="7"/>
      <c r="M38" s="5"/>
    </row>
    <row r="39" spans="1:15" ht="79.150000000000006" customHeight="1">
      <c r="B39" s="3"/>
      <c r="C39" s="3"/>
      <c r="D39" s="57" t="s">
        <v>61</v>
      </c>
      <c r="E39" s="57"/>
      <c r="F39" s="57"/>
      <c r="G39" s="4"/>
      <c r="H39" s="4"/>
      <c r="I39" s="4"/>
      <c r="J39" s="4"/>
      <c r="K39" s="4"/>
      <c r="L39" s="7"/>
      <c r="M39" s="5"/>
    </row>
    <row r="40" spans="1:15" ht="111.6" customHeight="1">
      <c r="B40" s="3"/>
      <c r="C40" s="3"/>
      <c r="D40" s="57" t="s">
        <v>62</v>
      </c>
      <c r="E40" s="57"/>
      <c r="F40" s="57"/>
      <c r="G40" s="4"/>
      <c r="H40" s="4"/>
      <c r="I40" s="4"/>
      <c r="J40" s="4"/>
      <c r="K40" s="4"/>
      <c r="L40" s="7"/>
      <c r="M40" s="5"/>
    </row>
    <row r="41" spans="1:15" ht="122.45" customHeight="1">
      <c r="B41" s="3"/>
      <c r="C41" s="3"/>
      <c r="D41" s="57" t="s">
        <v>63</v>
      </c>
      <c r="E41" s="57"/>
      <c r="F41" s="57"/>
      <c r="G41" s="4"/>
      <c r="H41" s="4"/>
      <c r="I41" s="4"/>
      <c r="J41" s="4"/>
      <c r="K41" s="4"/>
      <c r="L41" s="7"/>
      <c r="M41" s="5"/>
    </row>
    <row r="42" spans="1:15" ht="95.25" customHeight="1">
      <c r="A42" s="2" t="s">
        <v>64</v>
      </c>
      <c r="B42" s="3" t="s">
        <v>65</v>
      </c>
      <c r="C42" s="17" t="s">
        <v>66</v>
      </c>
      <c r="D42" s="58" t="s">
        <v>67</v>
      </c>
      <c r="E42" s="58"/>
      <c r="F42" s="58"/>
      <c r="G42" s="58"/>
      <c r="H42" s="58"/>
      <c r="I42" s="58"/>
      <c r="J42" s="4"/>
      <c r="K42" s="4"/>
      <c r="L42" s="4"/>
      <c r="M42" s="4"/>
      <c r="N42" s="7"/>
      <c r="O42" s="5"/>
    </row>
    <row r="43" spans="1:15" ht="60.75" customHeight="1">
      <c r="B43" s="17" t="s">
        <v>68</v>
      </c>
      <c r="C43" s="3" t="s">
        <v>69</v>
      </c>
      <c r="D43" s="57" t="s">
        <v>70</v>
      </c>
      <c r="E43" s="57"/>
      <c r="F43" s="57"/>
      <c r="G43" s="57"/>
      <c r="H43" s="57"/>
      <c r="I43" s="57"/>
      <c r="J43" s="4"/>
      <c r="K43" s="4"/>
      <c r="L43" s="7"/>
      <c r="M43" s="5"/>
    </row>
    <row r="44" spans="1:15" ht="59.25" customHeight="1">
      <c r="B44" s="17" t="s">
        <v>71</v>
      </c>
      <c r="C44" s="3" t="s">
        <v>22</v>
      </c>
      <c r="D44" s="57" t="s">
        <v>72</v>
      </c>
      <c r="E44" s="57"/>
      <c r="F44" s="57"/>
      <c r="G44" s="57"/>
      <c r="H44" s="57"/>
      <c r="I44" s="57"/>
      <c r="J44" s="4"/>
      <c r="K44" s="4"/>
      <c r="L44" s="7"/>
      <c r="M44" s="5"/>
    </row>
    <row r="45" spans="1:15" ht="42.75" customHeight="1">
      <c r="B45" s="17" t="s">
        <v>73</v>
      </c>
      <c r="C45" s="3" t="s">
        <v>74</v>
      </c>
      <c r="D45" s="58" t="s">
        <v>75</v>
      </c>
      <c r="E45" s="58"/>
      <c r="F45" s="58"/>
      <c r="G45" s="58"/>
      <c r="H45" s="58"/>
      <c r="I45" s="58"/>
      <c r="J45" s="4"/>
      <c r="K45" s="4"/>
      <c r="L45" s="7"/>
      <c r="M45" s="5"/>
    </row>
    <row r="46" spans="1:15" ht="50.25" customHeight="1">
      <c r="B46" s="17" t="s">
        <v>76</v>
      </c>
      <c r="C46" s="3" t="s">
        <v>24</v>
      </c>
      <c r="D46" s="58" t="s">
        <v>77</v>
      </c>
      <c r="E46" s="58"/>
      <c r="F46" s="58"/>
      <c r="G46" s="58"/>
      <c r="H46" s="58"/>
      <c r="I46" s="58"/>
      <c r="J46" s="4"/>
      <c r="K46" s="4"/>
      <c r="L46" s="7"/>
      <c r="M46" s="5"/>
    </row>
    <row r="47" spans="1:15" ht="69.75" customHeight="1">
      <c r="B47" s="17" t="s">
        <v>78</v>
      </c>
      <c r="C47" s="3" t="s">
        <v>24</v>
      </c>
      <c r="D47" s="58" t="s">
        <v>79</v>
      </c>
      <c r="E47" s="58"/>
      <c r="F47" s="58"/>
      <c r="G47" s="58"/>
      <c r="H47" s="58"/>
      <c r="I47" s="58"/>
      <c r="J47" s="4"/>
      <c r="K47" s="4"/>
      <c r="L47" s="7"/>
      <c r="M47" s="5"/>
    </row>
    <row r="48" spans="1:15" ht="27.75" customHeight="1">
      <c r="B48" s="17" t="s">
        <v>80</v>
      </c>
      <c r="C48" s="3" t="s">
        <v>81</v>
      </c>
      <c r="D48" s="56" t="s">
        <v>82</v>
      </c>
      <c r="E48" s="56"/>
      <c r="F48" s="56"/>
      <c r="G48" s="56"/>
      <c r="H48" s="56"/>
      <c r="I48" s="56"/>
      <c r="J48" s="4"/>
      <c r="K48" s="4"/>
      <c r="L48" s="7"/>
      <c r="M48" s="5"/>
    </row>
    <row r="49" spans="1:13">
      <c r="B49" s="3"/>
      <c r="C49" s="3"/>
      <c r="D49" s="6"/>
      <c r="E49" s="6"/>
      <c r="F49" s="6"/>
      <c r="G49" s="4"/>
      <c r="H49" s="4"/>
      <c r="I49" s="4"/>
      <c r="J49" s="4"/>
      <c r="K49" s="4"/>
      <c r="L49" s="7"/>
      <c r="M49" s="5"/>
    </row>
    <row r="50" spans="1:13">
      <c r="B50" s="3"/>
      <c r="C50" s="3"/>
      <c r="D50" s="8"/>
      <c r="E50" s="6"/>
      <c r="F50" s="6"/>
      <c r="G50" s="4"/>
      <c r="H50" s="4"/>
      <c r="I50" s="4"/>
      <c r="J50" s="4"/>
      <c r="K50" s="4"/>
      <c r="L50" s="7"/>
      <c r="M50" s="5"/>
    </row>
    <row r="51" spans="1:13" ht="15.75">
      <c r="A51" s="53" t="s">
        <v>83</v>
      </c>
      <c r="B51" s="3"/>
      <c r="C51" s="3"/>
      <c r="D51" s="6"/>
      <c r="E51" s="6"/>
      <c r="F51" s="6"/>
      <c r="G51" s="4"/>
      <c r="H51" s="4"/>
      <c r="I51" s="4"/>
      <c r="J51" s="4"/>
      <c r="K51" s="4"/>
      <c r="L51" s="7"/>
      <c r="M51" s="5"/>
    </row>
    <row r="52" spans="1:13">
      <c r="B52" s="3"/>
      <c r="C52" s="15"/>
      <c r="D52" s="3"/>
      <c r="E52" s="4"/>
      <c r="F52" s="3"/>
      <c r="G52" s="4"/>
      <c r="H52" s="4"/>
      <c r="I52" s="4"/>
      <c r="J52" s="4"/>
      <c r="K52" s="4"/>
      <c r="L52" s="4"/>
      <c r="M52" s="5"/>
    </row>
    <row r="53" spans="1:13">
      <c r="B53" s="3"/>
      <c r="C53" s="3" t="s">
        <v>34</v>
      </c>
      <c r="D53" s="31" t="s">
        <v>84</v>
      </c>
      <c r="E53" s="4">
        <v>160000</v>
      </c>
      <c r="F53" s="3"/>
      <c r="G53" s="4"/>
      <c r="H53" s="4"/>
      <c r="I53" s="4"/>
      <c r="J53" s="4"/>
      <c r="K53" s="4"/>
      <c r="L53" s="4"/>
      <c r="M53" s="5"/>
    </row>
    <row r="54" spans="1:13" ht="165">
      <c r="B54" s="3"/>
      <c r="C54" s="11"/>
      <c r="D54" s="32" t="s">
        <v>85</v>
      </c>
      <c r="E54" s="4"/>
      <c r="F54" s="3"/>
      <c r="G54" s="4"/>
      <c r="H54" s="4"/>
      <c r="I54" s="4"/>
      <c r="J54" s="4"/>
      <c r="K54" s="4"/>
      <c r="L54" s="4"/>
      <c r="M54" s="5"/>
    </row>
    <row r="55" spans="1:13" ht="45" customHeight="1">
      <c r="B55" s="3"/>
      <c r="C55" s="3" t="s">
        <v>34</v>
      </c>
      <c r="D55" s="63" t="s">
        <v>86</v>
      </c>
      <c r="E55" s="4">
        <v>86864</v>
      </c>
      <c r="F55" s="3"/>
      <c r="G55" s="4"/>
      <c r="H55" s="4"/>
      <c r="I55" s="4"/>
      <c r="J55" s="4"/>
      <c r="K55" s="4"/>
      <c r="L55" s="4"/>
      <c r="M55" s="5"/>
    </row>
    <row r="56" spans="1:13" ht="256.5" customHeight="1">
      <c r="B56" s="3"/>
      <c r="C56" s="11"/>
      <c r="D56" s="54" t="s">
        <v>87</v>
      </c>
      <c r="E56" s="4"/>
      <c r="F56" s="3"/>
      <c r="G56" s="4"/>
      <c r="H56" s="4"/>
      <c r="I56" s="4"/>
      <c r="J56" s="4"/>
      <c r="K56" s="4"/>
      <c r="L56" s="4"/>
      <c r="M56" s="5"/>
    </row>
    <row r="57" spans="1:13" ht="44.25" customHeight="1">
      <c r="A57" s="2" t="s">
        <v>88</v>
      </c>
      <c r="B57" s="3"/>
      <c r="C57" s="3" t="s">
        <v>34</v>
      </c>
      <c r="D57" s="33" t="s">
        <v>89</v>
      </c>
      <c r="E57" s="4">
        <v>82800</v>
      </c>
      <c r="F57" s="3"/>
      <c r="G57" s="4"/>
      <c r="H57" s="4"/>
      <c r="I57" s="4"/>
      <c r="J57" s="4"/>
      <c r="K57" s="4"/>
      <c r="L57" s="7"/>
      <c r="M57" s="5"/>
    </row>
    <row r="58" spans="1:13" ht="192" customHeight="1">
      <c r="B58" s="3"/>
      <c r="C58" s="3"/>
      <c r="D58" s="32" t="s">
        <v>90</v>
      </c>
      <c r="E58" s="4"/>
      <c r="F58" s="3"/>
      <c r="G58" s="4"/>
      <c r="H58" s="4"/>
      <c r="I58" s="4"/>
      <c r="J58" s="4"/>
      <c r="K58" s="4"/>
      <c r="L58" s="7"/>
      <c r="M58" s="5"/>
    </row>
    <row r="59" spans="1:13" ht="54.75" customHeight="1">
      <c r="B59" s="3"/>
      <c r="C59" s="3" t="s">
        <v>34</v>
      </c>
      <c r="D59" s="34" t="s">
        <v>91</v>
      </c>
      <c r="E59" s="4">
        <v>196400</v>
      </c>
      <c r="F59" s="3"/>
      <c r="G59" s="4"/>
      <c r="H59" s="4"/>
      <c r="I59" s="4"/>
      <c r="J59" s="4"/>
      <c r="K59" s="4"/>
      <c r="L59" s="7"/>
      <c r="M59" s="5"/>
    </row>
    <row r="60" spans="1:13" ht="288" customHeight="1">
      <c r="B60" s="3"/>
      <c r="C60" s="32"/>
      <c r="D60" s="64" t="s">
        <v>92</v>
      </c>
      <c r="E60" s="4"/>
      <c r="F60" s="3"/>
      <c r="G60" s="4"/>
      <c r="H60" s="4"/>
      <c r="I60" s="4"/>
      <c r="J60" s="4"/>
      <c r="K60" s="4"/>
      <c r="L60" s="7"/>
      <c r="M60" s="5"/>
    </row>
    <row r="61" spans="1:13" ht="38.25" customHeight="1">
      <c r="B61" s="3"/>
      <c r="C61" s="3" t="s">
        <v>34</v>
      </c>
      <c r="D61" s="33" t="s">
        <v>93</v>
      </c>
      <c r="E61" s="4"/>
      <c r="F61" s="3"/>
      <c r="G61" s="4"/>
      <c r="H61" s="4"/>
      <c r="I61" s="4"/>
      <c r="J61" s="4"/>
      <c r="K61" s="4"/>
      <c r="L61" s="7"/>
      <c r="M61" s="5"/>
    </row>
    <row r="62" spans="1:13" ht="153.75">
      <c r="B62" s="3"/>
      <c r="C62" s="3"/>
      <c r="D62" s="32" t="s">
        <v>94</v>
      </c>
      <c r="E62" s="4">
        <v>2342</v>
      </c>
      <c r="F62" s="3"/>
      <c r="G62" s="4"/>
      <c r="H62" s="4"/>
      <c r="I62" s="4"/>
      <c r="J62" s="4"/>
      <c r="K62" s="4"/>
      <c r="L62" s="7"/>
      <c r="M62" s="5"/>
    </row>
    <row r="63" spans="1:13" ht="60" customHeight="1">
      <c r="B63" s="3"/>
      <c r="C63" s="3" t="s">
        <v>95</v>
      </c>
      <c r="D63" s="33" t="s">
        <v>96</v>
      </c>
      <c r="E63" s="4">
        <v>11710</v>
      </c>
      <c r="F63" s="3"/>
      <c r="G63" s="4"/>
      <c r="H63" s="4"/>
      <c r="I63" s="4"/>
      <c r="J63" s="4"/>
      <c r="K63" s="4"/>
      <c r="L63" s="7"/>
      <c r="M63" s="5"/>
    </row>
    <row r="64" spans="1:13" ht="163.5" customHeight="1">
      <c r="B64" s="3"/>
      <c r="C64" s="3"/>
      <c r="D64" s="38" t="s">
        <v>97</v>
      </c>
      <c r="E64" s="50"/>
      <c r="F64" s="3"/>
      <c r="G64" s="4"/>
      <c r="H64" s="4"/>
      <c r="I64" s="4"/>
      <c r="J64" s="4"/>
      <c r="K64" s="4"/>
      <c r="L64" s="7"/>
      <c r="M64" s="5"/>
    </row>
    <row r="65" spans="1:13" ht="42.75" customHeight="1">
      <c r="A65" s="2" t="s">
        <v>98</v>
      </c>
      <c r="B65" s="3"/>
      <c r="C65" s="3" t="s">
        <v>95</v>
      </c>
      <c r="D65" s="2" t="s">
        <v>99</v>
      </c>
      <c r="E65" s="4">
        <v>42000</v>
      </c>
      <c r="F65" s="3"/>
      <c r="G65" s="4"/>
      <c r="H65" s="4"/>
      <c r="I65" s="4"/>
      <c r="J65" s="4"/>
      <c r="K65" s="4"/>
      <c r="L65" s="7"/>
      <c r="M65" s="5"/>
    </row>
    <row r="66" spans="1:13" ht="39">
      <c r="B66" s="3"/>
      <c r="C66" s="3"/>
      <c r="D66" s="32" t="s">
        <v>100</v>
      </c>
      <c r="E66" s="4"/>
      <c r="F66" s="3"/>
      <c r="G66" s="4"/>
      <c r="H66" s="4"/>
      <c r="I66" s="4"/>
      <c r="J66" s="4"/>
      <c r="K66" s="4"/>
      <c r="L66" s="7"/>
      <c r="M66" s="5"/>
    </row>
    <row r="67" spans="1:13">
      <c r="B67" s="3"/>
      <c r="C67" s="3" t="s">
        <v>22</v>
      </c>
      <c r="D67" s="2" t="s">
        <v>101</v>
      </c>
      <c r="E67" s="4">
        <v>151200</v>
      </c>
      <c r="F67" s="3"/>
      <c r="G67" s="4"/>
      <c r="H67" s="4"/>
      <c r="I67" s="4"/>
      <c r="J67" s="4"/>
      <c r="K67" s="4"/>
      <c r="L67" s="7"/>
      <c r="M67" s="5"/>
    </row>
    <row r="68" spans="1:13" ht="166.5">
      <c r="B68" s="3"/>
      <c r="C68" s="3"/>
      <c r="D68" s="35" t="s">
        <v>102</v>
      </c>
      <c r="E68" s="4"/>
      <c r="F68" s="3"/>
      <c r="G68" s="4"/>
      <c r="H68" s="4"/>
      <c r="I68" s="4"/>
      <c r="J68" s="4"/>
      <c r="K68" s="4"/>
      <c r="L68" s="7"/>
      <c r="M68" s="5"/>
    </row>
    <row r="69" spans="1:13">
      <c r="B69" s="3"/>
      <c r="C69" s="3" t="s">
        <v>34</v>
      </c>
      <c r="D69" s="36" t="s">
        <v>103</v>
      </c>
      <c r="E69" s="4">
        <v>10000</v>
      </c>
      <c r="F69" s="3"/>
      <c r="G69" s="4"/>
      <c r="H69" s="4"/>
      <c r="I69" s="4"/>
      <c r="J69" s="4"/>
      <c r="K69" s="4"/>
      <c r="L69" s="7"/>
      <c r="M69" s="5"/>
    </row>
    <row r="70" spans="1:13" ht="64.5">
      <c r="B70" s="3"/>
      <c r="C70" s="3"/>
      <c r="D70" s="37" t="s">
        <v>104</v>
      </c>
      <c r="E70" s="4"/>
      <c r="F70" s="3"/>
      <c r="G70" s="4"/>
      <c r="H70" s="4"/>
      <c r="I70" s="4"/>
      <c r="J70" s="4"/>
      <c r="K70" s="4"/>
      <c r="L70" s="7"/>
      <c r="M70" s="5"/>
    </row>
    <row r="71" spans="1:13">
      <c r="A71" s="2" t="s">
        <v>105</v>
      </c>
      <c r="B71" s="3"/>
      <c r="C71" s="3" t="s">
        <v>34</v>
      </c>
      <c r="D71" s="2" t="s">
        <v>106</v>
      </c>
      <c r="E71" s="4">
        <v>39000</v>
      </c>
      <c r="F71" s="3" t="s">
        <v>107</v>
      </c>
      <c r="G71" s="4"/>
      <c r="H71" s="4"/>
      <c r="I71" s="4"/>
      <c r="J71" s="4"/>
      <c r="K71" s="4"/>
      <c r="L71" s="7"/>
      <c r="M71" s="5"/>
    </row>
    <row r="72" spans="1:13" ht="64.5">
      <c r="B72" s="3"/>
      <c r="C72" s="3"/>
      <c r="D72" s="32" t="s">
        <v>108</v>
      </c>
      <c r="E72" s="4"/>
      <c r="F72" s="3"/>
      <c r="G72" s="4"/>
      <c r="H72" s="4"/>
      <c r="I72" s="4"/>
      <c r="J72" s="4"/>
      <c r="K72" s="4"/>
      <c r="L72" s="7"/>
      <c r="M72" s="5"/>
    </row>
    <row r="73" spans="1:13" ht="45">
      <c r="A73" s="2" t="s">
        <v>109</v>
      </c>
      <c r="B73" s="3"/>
      <c r="C73" s="3" t="s">
        <v>34</v>
      </c>
      <c r="D73" s="34" t="s">
        <v>110</v>
      </c>
      <c r="E73" s="4"/>
      <c r="F73" s="3"/>
      <c r="G73" s="4"/>
      <c r="H73" s="4"/>
      <c r="I73" s="4"/>
      <c r="J73" s="4"/>
      <c r="K73" s="4"/>
      <c r="L73" s="7"/>
      <c r="M73" s="5"/>
    </row>
    <row r="74" spans="1:13" ht="64.5">
      <c r="B74" s="3"/>
      <c r="C74" s="3" t="s">
        <v>34</v>
      </c>
      <c r="D74" s="38" t="s">
        <v>111</v>
      </c>
      <c r="E74" s="50">
        <v>45200</v>
      </c>
      <c r="F74" s="3">
        <v>19</v>
      </c>
      <c r="G74" s="4"/>
      <c r="H74" s="4"/>
      <c r="I74" s="4"/>
      <c r="J74" s="4"/>
      <c r="K74" s="4"/>
      <c r="L74" s="7"/>
      <c r="M74" s="5"/>
    </row>
    <row r="75" spans="1:13">
      <c r="B75" s="3"/>
      <c r="C75" s="3" t="s">
        <v>34</v>
      </c>
      <c r="D75" s="39" t="s">
        <v>112</v>
      </c>
      <c r="E75" s="50">
        <v>720</v>
      </c>
      <c r="F75" s="3">
        <v>2</v>
      </c>
      <c r="G75" s="4"/>
      <c r="H75" s="4"/>
      <c r="I75" s="4"/>
      <c r="J75" s="4"/>
      <c r="K75" s="4"/>
      <c r="L75" s="7"/>
      <c r="M75" s="5"/>
    </row>
    <row r="76" spans="1:13">
      <c r="B76" s="3"/>
      <c r="C76" s="3" t="s">
        <v>34</v>
      </c>
      <c r="D76" s="39" t="s">
        <v>113</v>
      </c>
      <c r="E76" s="50">
        <v>648</v>
      </c>
      <c r="F76" s="3">
        <v>2</v>
      </c>
      <c r="G76" s="4"/>
      <c r="H76" s="4"/>
      <c r="I76" s="4"/>
      <c r="J76" s="4"/>
      <c r="K76" s="4"/>
      <c r="L76" s="7"/>
      <c r="M76" s="5"/>
    </row>
    <row r="77" spans="1:13">
      <c r="B77" s="3"/>
      <c r="C77" s="3" t="s">
        <v>34</v>
      </c>
      <c r="D77" s="39" t="s">
        <v>114</v>
      </c>
      <c r="E77" s="50">
        <v>3800</v>
      </c>
      <c r="F77" s="3">
        <v>20</v>
      </c>
      <c r="G77" s="4"/>
      <c r="H77" s="4"/>
      <c r="I77" s="4"/>
      <c r="J77" s="4"/>
      <c r="K77" s="4"/>
      <c r="L77" s="7"/>
      <c r="M77" s="5"/>
    </row>
    <row r="78" spans="1:13" ht="39">
      <c r="B78" s="3"/>
      <c r="C78" s="3" t="s">
        <v>34</v>
      </c>
      <c r="D78" s="38" t="s">
        <v>115</v>
      </c>
      <c r="E78" s="50">
        <v>12000</v>
      </c>
      <c r="F78" s="3"/>
      <c r="G78" s="4"/>
      <c r="H78" s="4"/>
      <c r="I78" s="4"/>
      <c r="J78" s="4"/>
      <c r="K78" s="4"/>
      <c r="L78" s="7"/>
      <c r="M78" s="5"/>
    </row>
    <row r="79" spans="1:13" ht="64.5">
      <c r="B79" s="3"/>
      <c r="C79" s="3" t="s">
        <v>34</v>
      </c>
      <c r="D79" s="38" t="s">
        <v>116</v>
      </c>
      <c r="E79" s="50">
        <v>105600</v>
      </c>
      <c r="F79" s="3"/>
      <c r="G79" s="4"/>
      <c r="H79" s="4"/>
      <c r="I79" s="4"/>
      <c r="J79" s="4"/>
      <c r="K79" s="4"/>
      <c r="L79" s="7"/>
      <c r="M79" s="5"/>
    </row>
    <row r="80" spans="1:13" ht="51.75">
      <c r="B80" s="3"/>
      <c r="C80" s="3" t="s">
        <v>34</v>
      </c>
      <c r="D80" s="38" t="s">
        <v>117</v>
      </c>
      <c r="E80" s="50">
        <v>420</v>
      </c>
      <c r="F80" s="3"/>
      <c r="G80" s="4"/>
      <c r="H80" s="4"/>
      <c r="I80" s="4"/>
      <c r="J80" s="4"/>
      <c r="K80" s="4"/>
      <c r="L80" s="7"/>
      <c r="M80" s="5"/>
    </row>
    <row r="81" spans="1:13">
      <c r="B81" s="3"/>
      <c r="C81" s="3"/>
      <c r="D81" s="40" t="s">
        <v>118</v>
      </c>
      <c r="E81" s="50"/>
      <c r="F81" s="3"/>
      <c r="G81" s="4"/>
      <c r="H81" s="4"/>
      <c r="I81" s="4"/>
      <c r="J81" s="4"/>
      <c r="K81" s="4"/>
      <c r="L81" s="7"/>
      <c r="M81" s="5"/>
    </row>
    <row r="82" spans="1:13" ht="77.25">
      <c r="B82" s="3"/>
      <c r="C82" s="3" t="s">
        <v>34</v>
      </c>
      <c r="D82" s="38" t="s">
        <v>119</v>
      </c>
      <c r="E82" s="50">
        <v>10000</v>
      </c>
      <c r="F82" s="3">
        <v>1</v>
      </c>
      <c r="G82" s="4"/>
      <c r="H82" s="4"/>
      <c r="I82" s="4"/>
      <c r="J82" s="4"/>
      <c r="K82" s="4"/>
      <c r="L82" s="7"/>
      <c r="M82" s="5"/>
    </row>
    <row r="83" spans="1:13" ht="39">
      <c r="B83" s="3"/>
      <c r="C83" s="3" t="s">
        <v>120</v>
      </c>
      <c r="D83" s="38" t="s">
        <v>121</v>
      </c>
      <c r="E83" s="50">
        <v>297</v>
      </c>
      <c r="F83" s="3">
        <v>1</v>
      </c>
      <c r="G83" s="4"/>
      <c r="H83" s="4"/>
      <c r="I83" s="4"/>
      <c r="J83" s="4"/>
      <c r="K83" s="4"/>
      <c r="L83" s="7"/>
      <c r="M83" s="5"/>
    </row>
    <row r="84" spans="1:13" ht="25.5">
      <c r="B84" s="3"/>
      <c r="C84" s="3" t="s">
        <v>34</v>
      </c>
      <c r="D84" s="38" t="s">
        <v>122</v>
      </c>
      <c r="E84" s="50">
        <v>2150</v>
      </c>
      <c r="F84" s="3">
        <v>1</v>
      </c>
      <c r="G84" s="4"/>
      <c r="H84" s="4"/>
      <c r="I84" s="4"/>
      <c r="J84" s="4"/>
      <c r="K84" s="4"/>
      <c r="L84" s="7"/>
      <c r="M84" s="5"/>
    </row>
    <row r="85" spans="1:13" ht="39">
      <c r="B85" s="3"/>
      <c r="C85" s="3"/>
      <c r="D85" s="38" t="s">
        <v>123</v>
      </c>
      <c r="E85" s="50"/>
      <c r="F85" s="3"/>
      <c r="G85" s="4"/>
      <c r="H85" s="4"/>
      <c r="I85" s="4"/>
      <c r="J85" s="4"/>
      <c r="K85" s="4"/>
      <c r="L85" s="7"/>
      <c r="M85" s="5"/>
    </row>
    <row r="86" spans="1:13" ht="26.25">
      <c r="B86" s="3"/>
      <c r="C86" s="3"/>
      <c r="D86" s="38" t="s">
        <v>124</v>
      </c>
      <c r="E86" s="50">
        <v>600</v>
      </c>
      <c r="F86" s="3">
        <v>1</v>
      </c>
      <c r="G86" s="4"/>
      <c r="H86" s="4"/>
      <c r="I86" s="4"/>
      <c r="J86" s="4"/>
      <c r="K86" s="4"/>
      <c r="L86" s="7"/>
      <c r="M86" s="5"/>
    </row>
    <row r="87" spans="1:13" ht="70.5" customHeight="1">
      <c r="B87" s="3"/>
      <c r="C87" s="3"/>
      <c r="D87" s="38" t="s">
        <v>125</v>
      </c>
      <c r="E87" s="50">
        <v>3000</v>
      </c>
      <c r="F87" s="3">
        <v>1</v>
      </c>
      <c r="G87" s="4"/>
      <c r="H87" s="4"/>
      <c r="I87" s="4"/>
      <c r="J87" s="4"/>
      <c r="K87" s="4"/>
      <c r="L87" s="7"/>
      <c r="M87" s="5"/>
    </row>
    <row r="88" spans="1:13">
      <c r="B88" s="3"/>
      <c r="C88" s="3"/>
      <c r="D88" s="39" t="s">
        <v>126</v>
      </c>
      <c r="E88" s="7"/>
      <c r="F88" s="3"/>
      <c r="G88" s="7"/>
      <c r="H88" s="4"/>
      <c r="I88" s="4"/>
      <c r="J88" s="4"/>
      <c r="K88" s="4"/>
      <c r="L88" s="7"/>
      <c r="M88" s="5"/>
    </row>
    <row r="89" spans="1:13">
      <c r="A89" s="2" t="s">
        <v>127</v>
      </c>
      <c r="B89" s="3">
        <v>6320</v>
      </c>
      <c r="C89" s="3"/>
      <c r="D89" s="2" t="s">
        <v>128</v>
      </c>
      <c r="E89" s="4"/>
      <c r="F89" s="3"/>
      <c r="G89" s="4"/>
      <c r="H89" s="4"/>
      <c r="I89" s="4"/>
      <c r="J89" s="4"/>
      <c r="K89" s="4"/>
      <c r="L89" s="7"/>
      <c r="M89" s="5"/>
    </row>
    <row r="90" spans="1:13">
      <c r="B90" s="3"/>
      <c r="C90" s="3"/>
      <c r="D90" s="39" t="s">
        <v>129</v>
      </c>
      <c r="E90" s="50">
        <v>60</v>
      </c>
      <c r="F90" s="3">
        <v>5</v>
      </c>
      <c r="G90" s="4"/>
      <c r="H90" s="4"/>
      <c r="I90" s="4"/>
      <c r="J90" s="4"/>
      <c r="K90" s="4"/>
      <c r="L90" s="7"/>
      <c r="M90" s="5"/>
    </row>
    <row r="91" spans="1:13">
      <c r="B91" s="3"/>
      <c r="C91" s="3"/>
      <c r="D91" s="39" t="s">
        <v>130</v>
      </c>
      <c r="E91" s="50">
        <v>30</v>
      </c>
      <c r="F91" s="3" t="s">
        <v>131</v>
      </c>
      <c r="G91" s="4"/>
      <c r="H91" s="4"/>
      <c r="I91" s="4"/>
      <c r="J91" s="4"/>
      <c r="K91" s="4"/>
      <c r="L91" s="7"/>
      <c r="M91" s="5"/>
    </row>
    <row r="92" spans="1:13" ht="39">
      <c r="B92" s="3"/>
      <c r="C92" s="3"/>
      <c r="D92" s="38" t="s">
        <v>132</v>
      </c>
      <c r="E92" s="50">
        <v>1620</v>
      </c>
      <c r="F92" s="3">
        <v>3</v>
      </c>
      <c r="G92" s="4"/>
      <c r="H92" s="4"/>
      <c r="I92" s="4"/>
      <c r="J92" s="4"/>
      <c r="K92" s="4"/>
      <c r="L92" s="7"/>
      <c r="M92" s="5"/>
    </row>
    <row r="93" spans="1:13" ht="53.25" customHeight="1">
      <c r="B93" s="3"/>
      <c r="C93" s="3"/>
      <c r="D93" s="38" t="s">
        <v>133</v>
      </c>
      <c r="E93" s="50">
        <v>280</v>
      </c>
      <c r="F93" s="3"/>
      <c r="G93" s="4"/>
      <c r="H93" s="4"/>
      <c r="I93" s="4"/>
      <c r="J93" s="4"/>
      <c r="K93" s="4"/>
      <c r="L93" s="7"/>
      <c r="M93" s="5"/>
    </row>
    <row r="94" spans="1:13" ht="24" customHeight="1">
      <c r="B94" s="3"/>
      <c r="C94" s="3"/>
      <c r="D94" s="41" t="s">
        <v>134</v>
      </c>
      <c r="E94" s="50">
        <v>20000</v>
      </c>
      <c r="F94" s="3"/>
      <c r="G94" s="4"/>
      <c r="H94" s="4"/>
      <c r="I94" s="4"/>
      <c r="J94" s="4"/>
      <c r="K94" s="4"/>
      <c r="L94" s="7"/>
      <c r="M94" s="5"/>
    </row>
    <row r="95" spans="1:13" ht="81" customHeight="1">
      <c r="B95" s="3"/>
      <c r="C95" s="3"/>
      <c r="D95" s="38" t="s">
        <v>135</v>
      </c>
      <c r="E95" s="50"/>
      <c r="F95" s="3"/>
      <c r="G95" s="4"/>
      <c r="H95" s="4"/>
      <c r="I95" s="4"/>
      <c r="J95" s="4"/>
      <c r="K95" s="4"/>
      <c r="L95" s="7"/>
      <c r="M95" s="5"/>
    </row>
    <row r="96" spans="1:13" ht="21.75" customHeight="1">
      <c r="B96" s="3"/>
      <c r="C96" s="3"/>
      <c r="D96" s="41" t="s">
        <v>136</v>
      </c>
      <c r="E96" s="50"/>
      <c r="F96" s="3"/>
      <c r="G96" s="4"/>
      <c r="H96" s="4"/>
      <c r="I96" s="4"/>
      <c r="J96" s="4"/>
      <c r="K96" s="4"/>
      <c r="L96" s="7"/>
      <c r="M96" s="5"/>
    </row>
    <row r="97" spans="2:13" ht="27" customHeight="1">
      <c r="B97" s="3"/>
      <c r="C97" s="3" t="s">
        <v>22</v>
      </c>
      <c r="D97" s="38" t="s">
        <v>137</v>
      </c>
      <c r="E97" s="50">
        <v>4000</v>
      </c>
      <c r="F97" s="3"/>
      <c r="G97" s="4"/>
      <c r="H97" s="4"/>
      <c r="I97" s="4"/>
      <c r="J97" s="4"/>
      <c r="K97" s="4"/>
      <c r="L97" s="7"/>
      <c r="M97" s="5"/>
    </row>
    <row r="98" spans="2:13" ht="44.25" customHeight="1">
      <c r="B98" s="3"/>
      <c r="C98" s="3"/>
      <c r="D98" s="38" t="s">
        <v>138</v>
      </c>
      <c r="E98" s="50"/>
      <c r="F98" s="3"/>
      <c r="G98" s="4"/>
      <c r="H98" s="4"/>
      <c r="I98" s="4"/>
      <c r="J98" s="4"/>
      <c r="K98" s="4"/>
      <c r="L98" s="7"/>
      <c r="M98" s="5"/>
    </row>
    <row r="99" spans="2:13">
      <c r="B99" s="3"/>
      <c r="C99" s="3"/>
      <c r="E99" s="4"/>
      <c r="F99" s="3"/>
      <c r="G99" s="4"/>
      <c r="H99" s="4"/>
      <c r="I99" s="4"/>
      <c r="J99" s="4"/>
      <c r="K99" s="4"/>
      <c r="L99" s="7"/>
      <c r="M99" s="5"/>
    </row>
    <row r="100" spans="2:13">
      <c r="B100" s="3"/>
      <c r="C100" s="3" t="s">
        <v>34</v>
      </c>
      <c r="D100" s="41" t="s">
        <v>139</v>
      </c>
      <c r="E100" s="4">
        <v>300000</v>
      </c>
      <c r="F100" s="3"/>
      <c r="G100" s="4"/>
      <c r="H100" s="4"/>
      <c r="I100" s="4"/>
      <c r="J100" s="4"/>
      <c r="K100" s="4"/>
      <c r="L100" s="7"/>
      <c r="M100" s="5"/>
    </row>
    <row r="101" spans="2:13" ht="16.5">
      <c r="B101" s="3"/>
      <c r="C101" s="3"/>
      <c r="D101" s="49" t="s">
        <v>140</v>
      </c>
      <c r="E101" s="4"/>
      <c r="F101" s="3"/>
      <c r="G101" s="42"/>
      <c r="H101" s="42"/>
      <c r="I101" s="42"/>
      <c r="J101" s="42"/>
      <c r="K101" s="42"/>
      <c r="L101" s="30"/>
      <c r="M101" s="5"/>
    </row>
    <row r="102" spans="2:13" ht="69.75" customHeight="1">
      <c r="B102" s="3"/>
      <c r="C102" s="3"/>
      <c r="D102" s="38" t="s">
        <v>141</v>
      </c>
      <c r="E102" s="4"/>
      <c r="F102" s="3"/>
      <c r="G102" s="42"/>
      <c r="H102" s="42"/>
      <c r="I102" s="42"/>
      <c r="J102" s="42"/>
      <c r="K102" s="42"/>
      <c r="L102" s="30"/>
      <c r="M102" s="5"/>
    </row>
    <row r="103" spans="2:13" ht="16.5">
      <c r="B103" s="3"/>
      <c r="C103" s="3" t="s">
        <v>34</v>
      </c>
      <c r="D103" s="43" t="s">
        <v>142</v>
      </c>
      <c r="E103" s="4">
        <v>9600</v>
      </c>
      <c r="F103" s="3"/>
      <c r="G103" s="42"/>
      <c r="H103" s="42"/>
      <c r="I103" s="42"/>
      <c r="J103" s="42"/>
      <c r="K103" s="42"/>
      <c r="L103" s="30"/>
      <c r="M103" s="5"/>
    </row>
    <row r="104" spans="2:13" ht="106.5" customHeight="1">
      <c r="B104" s="3"/>
      <c r="C104" s="3"/>
      <c r="D104" s="38" t="s">
        <v>143</v>
      </c>
      <c r="E104" s="4"/>
      <c r="F104" s="3"/>
      <c r="G104" s="42"/>
      <c r="H104" s="42"/>
      <c r="I104" s="42"/>
      <c r="J104" s="42"/>
      <c r="K104" s="42"/>
      <c r="L104" s="30"/>
      <c r="M104" s="5"/>
    </row>
    <row r="105" spans="2:13" ht="24.75" customHeight="1">
      <c r="B105" s="3"/>
      <c r="C105" s="3" t="s">
        <v>34</v>
      </c>
      <c r="D105" s="43" t="s">
        <v>144</v>
      </c>
      <c r="E105" s="4"/>
      <c r="F105" s="3"/>
      <c r="G105" s="42"/>
      <c r="H105" s="42"/>
      <c r="I105" s="42"/>
      <c r="J105" s="42"/>
      <c r="K105" s="42"/>
      <c r="L105" s="30"/>
      <c r="M105" s="5"/>
    </row>
    <row r="106" spans="2:13" ht="163.5" customHeight="1">
      <c r="B106" s="3"/>
      <c r="C106" s="3"/>
      <c r="D106" s="38" t="s">
        <v>145</v>
      </c>
      <c r="E106" s="4">
        <v>18000</v>
      </c>
      <c r="F106" s="3"/>
      <c r="G106" s="42"/>
      <c r="H106" s="42"/>
      <c r="I106" s="42"/>
      <c r="J106" s="42"/>
      <c r="K106" s="42"/>
      <c r="L106" s="30"/>
      <c r="M106" s="5"/>
    </row>
    <row r="107" spans="2:13" ht="16.5">
      <c r="B107" s="3"/>
      <c r="C107" s="3" t="s">
        <v>34</v>
      </c>
      <c r="D107" s="43" t="s">
        <v>146</v>
      </c>
      <c r="E107" s="4"/>
      <c r="F107" s="3"/>
      <c r="G107" s="42"/>
      <c r="H107" s="42"/>
      <c r="I107" s="42"/>
      <c r="J107" s="42"/>
      <c r="K107" s="42"/>
      <c r="L107" s="30"/>
      <c r="M107" s="5"/>
    </row>
    <row r="108" spans="2:13" ht="93" customHeight="1">
      <c r="B108" s="3"/>
      <c r="C108" s="3" t="s">
        <v>147</v>
      </c>
      <c r="D108" s="38" t="s">
        <v>148</v>
      </c>
      <c r="E108" s="4">
        <v>100000</v>
      </c>
      <c r="F108" s="3"/>
      <c r="G108" s="42"/>
      <c r="H108" s="42"/>
      <c r="I108" s="42"/>
      <c r="J108" s="42"/>
      <c r="K108" s="42"/>
      <c r="L108" s="30"/>
      <c r="M108" s="5"/>
    </row>
    <row r="109" spans="2:13" ht="30" customHeight="1">
      <c r="B109" s="3"/>
      <c r="C109" s="3"/>
      <c r="D109" s="38"/>
      <c r="E109" s="4"/>
      <c r="F109" s="3"/>
      <c r="G109" s="42"/>
      <c r="H109" s="42"/>
      <c r="I109" s="42"/>
      <c r="J109" s="42"/>
      <c r="K109" s="42"/>
      <c r="L109" s="30"/>
      <c r="M109" s="5"/>
    </row>
    <row r="110" spans="2:13" ht="56.25" customHeight="1">
      <c r="B110" s="3"/>
      <c r="C110" s="3" t="s">
        <v>22</v>
      </c>
      <c r="D110" s="38" t="s">
        <v>149</v>
      </c>
      <c r="E110" s="4">
        <f>SUM(E37:E109)</f>
        <v>8790433.7060000002</v>
      </c>
      <c r="F110" s="3"/>
      <c r="G110" s="42"/>
      <c r="H110" s="42"/>
      <c r="I110" s="42"/>
      <c r="J110" s="42"/>
      <c r="K110" s="42"/>
      <c r="L110" s="30"/>
      <c r="M110" s="5"/>
    </row>
    <row r="111" spans="2:13" ht="16.5">
      <c r="B111" s="3"/>
      <c r="C111" s="3"/>
      <c r="D111" s="44" t="s">
        <v>150</v>
      </c>
      <c r="E111" s="4"/>
      <c r="F111" s="3"/>
      <c r="G111" s="42"/>
      <c r="H111" s="42"/>
      <c r="I111" s="42"/>
      <c r="J111" s="42"/>
      <c r="K111" s="42"/>
      <c r="L111" s="30"/>
      <c r="M111" s="5"/>
    </row>
    <row r="112" spans="2:13">
      <c r="B112" s="3"/>
      <c r="C112" s="3"/>
      <c r="D112" s="44"/>
      <c r="E112" s="7">
        <f>SUM(E53:E111)</f>
        <v>10210774.706</v>
      </c>
      <c r="F112" s="3"/>
      <c r="G112" s="7"/>
      <c r="H112" s="7"/>
      <c r="I112" s="7"/>
      <c r="J112" s="7"/>
      <c r="K112" s="7"/>
      <c r="L112" s="7"/>
      <c r="M112" s="45"/>
    </row>
    <row r="113" spans="1:13" ht="15.75">
      <c r="B113" s="3"/>
      <c r="C113" s="3"/>
      <c r="D113" s="52"/>
      <c r="E113" s="7"/>
      <c r="F113" s="3"/>
      <c r="G113" s="7"/>
      <c r="H113" s="7"/>
      <c r="I113" s="7"/>
      <c r="J113" s="7"/>
      <c r="K113" s="7"/>
      <c r="L113" s="7"/>
      <c r="M113" s="45"/>
    </row>
    <row r="114" spans="1:13" ht="15.75">
      <c r="B114" s="51" t="s">
        <v>151</v>
      </c>
      <c r="C114" s="23" t="s">
        <v>34</v>
      </c>
      <c r="D114" s="3" t="s">
        <v>152</v>
      </c>
      <c r="E114" s="4">
        <v>2832975.93</v>
      </c>
      <c r="F114" s="3"/>
      <c r="G114" s="7"/>
      <c r="H114" s="7"/>
      <c r="I114" s="7"/>
      <c r="J114" s="7"/>
      <c r="K114" s="7"/>
      <c r="L114" s="4"/>
      <c r="M114" s="5"/>
    </row>
    <row r="115" spans="1:13" ht="330" customHeight="1">
      <c r="A115" s="2" t="s">
        <v>153</v>
      </c>
      <c r="B115" s="3">
        <v>7305</v>
      </c>
      <c r="C115" s="3"/>
      <c r="D115" s="38" t="s">
        <v>154</v>
      </c>
      <c r="E115" s="46"/>
      <c r="F115" s="3"/>
      <c r="G115" s="4"/>
      <c r="H115" s="4"/>
      <c r="I115" s="4"/>
      <c r="J115" s="4"/>
      <c r="K115" s="4"/>
      <c r="L115" s="7"/>
      <c r="M115" s="5"/>
    </row>
    <row r="116" spans="1:13" ht="22.9" customHeight="1">
      <c r="C116" s="19"/>
      <c r="D116" s="25" t="s">
        <v>155</v>
      </c>
      <c r="E116" s="7">
        <f>SUM(E112:E114)</f>
        <v>13043750.636</v>
      </c>
      <c r="F116" s="3" t="s">
        <v>156</v>
      </c>
      <c r="G116" s="1">
        <v>12156249.359999999</v>
      </c>
      <c r="H116" s="4"/>
      <c r="I116" s="4"/>
      <c r="J116" s="4"/>
      <c r="K116" s="4"/>
      <c r="L116" s="7"/>
      <c r="M116" s="5"/>
    </row>
    <row r="117" spans="1:13">
      <c r="B117" s="3"/>
      <c r="C117" s="3"/>
      <c r="D117" s="3"/>
      <c r="E117" s="3"/>
      <c r="F117" s="3" t="s">
        <v>157</v>
      </c>
      <c r="G117" s="4">
        <v>13043750.640000001</v>
      </c>
      <c r="H117" s="4"/>
      <c r="I117" s="4"/>
      <c r="J117" s="4"/>
      <c r="K117" s="4"/>
      <c r="L117" s="3"/>
      <c r="M117" s="3"/>
    </row>
    <row r="118" spans="1:13">
      <c r="B118" s="3"/>
      <c r="C118" s="3"/>
      <c r="D118" s="3"/>
      <c r="E118" s="3"/>
      <c r="F118" s="3"/>
      <c r="G118" s="1">
        <f>SUM(G116:G117)</f>
        <v>25200000</v>
      </c>
      <c r="H118" s="4">
        <v>25200000</v>
      </c>
      <c r="I118" s="4"/>
      <c r="J118" s="4"/>
      <c r="K118" s="4"/>
      <c r="L118" s="3"/>
      <c r="M118" s="3"/>
    </row>
    <row r="119" spans="1:13">
      <c r="B119" s="3"/>
      <c r="C119" s="3"/>
      <c r="D119" s="3"/>
      <c r="E119" s="3"/>
      <c r="F119" s="3"/>
      <c r="G119" s="3"/>
      <c r="H119" s="4">
        <v>23534048.140000001</v>
      </c>
      <c r="I119" s="4"/>
      <c r="J119" s="4"/>
      <c r="K119" s="4"/>
      <c r="L119" s="3"/>
      <c r="M119" s="3"/>
    </row>
    <row r="120" spans="1:13">
      <c r="B120" s="3"/>
      <c r="C120" s="3"/>
      <c r="D120" s="3"/>
      <c r="E120" s="3"/>
      <c r="F120" s="3"/>
      <c r="G120" s="3"/>
      <c r="H120" s="4">
        <f>H118-H119</f>
        <v>1665951.8599999994</v>
      </c>
      <c r="I120" s="4"/>
      <c r="J120" s="4"/>
      <c r="K120" s="4"/>
      <c r="L120" s="3"/>
      <c r="M120" s="3"/>
    </row>
    <row r="121" spans="1:13">
      <c r="B121" s="3"/>
      <c r="C121" s="3"/>
      <c r="D121" s="3"/>
      <c r="E121" s="3"/>
      <c r="F121" s="3"/>
      <c r="G121" s="3"/>
      <c r="H121" s="4"/>
      <c r="I121" s="4"/>
      <c r="J121" s="4"/>
      <c r="K121" s="4"/>
      <c r="L121" s="3"/>
      <c r="M121" s="3"/>
    </row>
    <row r="122" spans="1:13">
      <c r="B122" s="3"/>
      <c r="C122" s="3"/>
      <c r="D122" s="3"/>
      <c r="E122" s="3"/>
      <c r="F122" s="3"/>
      <c r="G122" s="3"/>
      <c r="H122" s="4"/>
      <c r="I122" s="4"/>
      <c r="J122" s="4"/>
      <c r="K122" s="4"/>
      <c r="L122" s="3"/>
      <c r="M122" s="3"/>
    </row>
    <row r="123" spans="1:13">
      <c r="B123" s="3"/>
      <c r="C123" s="3"/>
      <c r="D123" s="3"/>
      <c r="E123" s="3"/>
      <c r="F123" s="3"/>
      <c r="G123" s="3"/>
      <c r="H123" s="4"/>
      <c r="I123" s="4"/>
      <c r="J123" s="4"/>
      <c r="K123" s="4"/>
      <c r="L123" s="3"/>
      <c r="M123" s="3"/>
    </row>
    <row r="124" spans="1:13">
      <c r="B124" s="3"/>
      <c r="C124" s="3"/>
      <c r="D124" s="3"/>
      <c r="E124" s="3"/>
      <c r="F124" s="3"/>
      <c r="G124" s="3"/>
      <c r="H124" s="4"/>
      <c r="I124" s="4"/>
      <c r="J124" s="4"/>
      <c r="K124" s="4"/>
      <c r="L124" s="3"/>
      <c r="M124" s="3"/>
    </row>
    <row r="125" spans="1:13">
      <c r="B125" s="3"/>
      <c r="C125" s="3"/>
      <c r="D125" s="3"/>
      <c r="E125" s="3"/>
      <c r="F125" s="3"/>
      <c r="G125" s="3"/>
      <c r="H125" s="4"/>
      <c r="I125" s="4"/>
      <c r="J125" s="4"/>
      <c r="K125" s="4"/>
      <c r="L125" s="3"/>
      <c r="M125" s="3"/>
    </row>
    <row r="126" spans="1:13">
      <c r="B126" s="3"/>
      <c r="C126" s="3"/>
      <c r="D126" s="3"/>
      <c r="E126" s="3"/>
      <c r="F126" s="3"/>
      <c r="G126" s="3"/>
      <c r="H126" s="4"/>
      <c r="I126" s="4"/>
      <c r="J126" s="4"/>
      <c r="K126" s="4"/>
      <c r="L126" s="3"/>
      <c r="M126" s="3"/>
    </row>
    <row r="127" spans="1:13">
      <c r="B127" s="3"/>
      <c r="C127" s="3"/>
      <c r="D127" s="3"/>
      <c r="E127" s="3"/>
      <c r="F127" s="3"/>
      <c r="G127" s="3"/>
      <c r="H127" s="4"/>
      <c r="I127" s="4"/>
      <c r="J127" s="4"/>
      <c r="K127" s="4"/>
      <c r="L127" s="3"/>
      <c r="M127" s="3"/>
    </row>
    <row r="128" spans="1:13">
      <c r="B128" s="3"/>
      <c r="C128" s="3"/>
      <c r="D128" s="3"/>
      <c r="E128" s="3"/>
      <c r="F128" s="3"/>
      <c r="G128" s="3"/>
      <c r="H128" s="4"/>
      <c r="I128" s="4"/>
      <c r="J128" s="4"/>
      <c r="K128" s="4"/>
      <c r="L128" s="3"/>
      <c r="M128" s="3"/>
    </row>
    <row r="129" spans="2:13">
      <c r="B129" s="3"/>
      <c r="C129" s="3"/>
      <c r="D129" s="3"/>
      <c r="E129" s="3"/>
      <c r="F129" s="3"/>
      <c r="G129" s="3"/>
      <c r="H129" s="4"/>
      <c r="I129" s="4"/>
      <c r="J129" s="4"/>
      <c r="K129" s="4"/>
      <c r="L129" s="3"/>
      <c r="M129" s="3"/>
    </row>
    <row r="130" spans="2:13">
      <c r="B130" s="3"/>
      <c r="C130" s="3"/>
      <c r="D130" s="3"/>
      <c r="E130" s="3"/>
      <c r="F130" s="3"/>
      <c r="G130" s="3"/>
      <c r="H130" s="4"/>
      <c r="I130" s="4"/>
      <c r="J130" s="4"/>
      <c r="K130" s="4"/>
      <c r="L130" s="3"/>
      <c r="M130" s="3"/>
    </row>
    <row r="131" spans="2:13">
      <c r="B131" s="3"/>
      <c r="C131" s="3"/>
      <c r="D131" s="3"/>
      <c r="E131" s="3"/>
      <c r="F131" s="3"/>
      <c r="G131" s="3"/>
      <c r="H131" s="4"/>
      <c r="I131" s="4"/>
      <c r="J131" s="4"/>
      <c r="K131" s="4"/>
      <c r="L131" s="3"/>
      <c r="M131" s="3"/>
    </row>
    <row r="132" spans="2:13">
      <c r="B132" s="3"/>
      <c r="C132" s="3"/>
      <c r="D132" s="3"/>
      <c r="E132" s="3"/>
      <c r="F132" s="3"/>
      <c r="G132" s="3"/>
      <c r="H132" s="4"/>
      <c r="I132" s="4"/>
      <c r="J132" s="4"/>
      <c r="K132" s="4"/>
      <c r="L132" s="3"/>
      <c r="M132" s="3"/>
    </row>
    <row r="133" spans="2:13">
      <c r="B133" s="3"/>
      <c r="C133" s="3"/>
      <c r="D133" s="3"/>
      <c r="E133" s="3"/>
      <c r="F133" s="3"/>
      <c r="G133" s="3"/>
      <c r="H133" s="4"/>
      <c r="I133" s="4"/>
      <c r="J133" s="4"/>
      <c r="K133" s="4"/>
      <c r="L133" s="3"/>
      <c r="M133" s="3"/>
    </row>
    <row r="134" spans="2:13">
      <c r="B134" s="3"/>
      <c r="C134" s="3"/>
      <c r="D134" s="3"/>
      <c r="E134" s="3"/>
      <c r="F134" s="3"/>
      <c r="G134" s="3"/>
      <c r="H134" s="47"/>
      <c r="I134" s="7"/>
      <c r="J134" s="4"/>
      <c r="K134" s="4"/>
      <c r="L134" s="3"/>
      <c r="M134" s="3"/>
    </row>
    <row r="135" spans="2:13">
      <c r="B135" s="3"/>
      <c r="C135" s="3"/>
      <c r="D135" s="3"/>
      <c r="E135" s="3"/>
      <c r="F135" s="3"/>
      <c r="G135" s="3"/>
      <c r="H135" s="4"/>
      <c r="I135" s="4"/>
      <c r="J135" s="4"/>
      <c r="K135" s="4"/>
      <c r="L135" s="3"/>
      <c r="M135" s="3"/>
    </row>
    <row r="136" spans="2:13">
      <c r="B136" s="3"/>
      <c r="C136" s="3"/>
      <c r="D136" s="3"/>
      <c r="E136" s="3"/>
      <c r="F136" s="3"/>
      <c r="G136" s="3"/>
      <c r="H136" s="4"/>
      <c r="I136" s="4"/>
      <c r="J136" s="4"/>
      <c r="K136" s="4"/>
      <c r="L136" s="3"/>
      <c r="M136" s="3"/>
    </row>
    <row r="137" spans="2:13">
      <c r="B137" s="3"/>
      <c r="C137" s="3"/>
      <c r="D137" s="3"/>
      <c r="E137" s="3"/>
      <c r="F137" s="3"/>
      <c r="G137" s="3"/>
      <c r="H137" s="4"/>
      <c r="I137" s="4"/>
      <c r="J137" s="4"/>
      <c r="K137" s="4"/>
      <c r="L137" s="3"/>
      <c r="M137" s="3"/>
    </row>
    <row r="138" spans="2:13">
      <c r="B138" s="3"/>
      <c r="C138" s="3"/>
      <c r="E138" s="3"/>
      <c r="F138" s="3"/>
      <c r="G138" s="3"/>
      <c r="H138" s="4"/>
      <c r="I138" s="4"/>
      <c r="J138" s="4"/>
      <c r="K138" s="4"/>
      <c r="L138" s="3"/>
      <c r="M138" s="3"/>
    </row>
  </sheetData>
  <mergeCells count="14">
    <mergeCell ref="D48:I48"/>
    <mergeCell ref="D41:F41"/>
    <mergeCell ref="D42:I42"/>
    <mergeCell ref="D2:H2"/>
    <mergeCell ref="D3:I3"/>
    <mergeCell ref="D4:I4"/>
    <mergeCell ref="D5:I5"/>
    <mergeCell ref="D39:F39"/>
    <mergeCell ref="D40:F40"/>
    <mergeCell ref="D43:I43"/>
    <mergeCell ref="D44:I44"/>
    <mergeCell ref="D45:I45"/>
    <mergeCell ref="D46:I46"/>
    <mergeCell ref="D47:I4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0887E8F89FA05409B172C97C1B9289B" ma:contentTypeVersion="10" ma:contentTypeDescription="Create a new document." ma:contentTypeScope="" ma:versionID="e1e0ec8ba0fd20e2a9cd6c484ce76be8">
  <xsd:schema xmlns:xsd="http://www.w3.org/2001/XMLSchema" xmlns:xs="http://www.w3.org/2001/XMLSchema" xmlns:p="http://schemas.microsoft.com/office/2006/metadata/properties" xmlns:ns2="38713e42-6f10-489c-93e0-2855dbda3aeb" xmlns:ns3="34d089de-c843-4bfd-8db9-b48e603d62d3" targetNamespace="http://schemas.microsoft.com/office/2006/metadata/properties" ma:root="true" ma:fieldsID="8b4f74f773839c14c688a9e5ff55e3a8" ns2:_="" ns3:_="">
    <xsd:import namespace="38713e42-6f10-489c-93e0-2855dbda3aeb"/>
    <xsd:import namespace="34d089de-c843-4bfd-8db9-b48e603d62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13e42-6f10-489c-93e0-2855dbda3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9652e2-ef79-4e4a-b4c1-fb9c475b114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d089de-c843-4bfd-8db9-b48e603d62d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04a1b9-0d0f-4b7a-aeeb-2f52b12ef28e}" ma:internalName="TaxCatchAll" ma:showField="CatchAllData" ma:web="34d089de-c843-4bfd-8db9-b48e603d62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d089de-c843-4bfd-8db9-b48e603d62d3" xsi:nil="true"/>
    <lcf76f155ced4ddcb4097134ff3c332f xmlns="38713e42-6f10-489c-93e0-2855dbda3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D20693-5FCC-4779-8509-5895ACDE78CE}"/>
</file>

<file path=customXml/itemProps2.xml><?xml version="1.0" encoding="utf-8"?>
<ds:datastoreItem xmlns:ds="http://schemas.openxmlformats.org/officeDocument/2006/customXml" ds:itemID="{145306EF-FE76-4100-B9FA-088CCDC269F4}"/>
</file>

<file path=customXml/itemProps3.xml><?xml version="1.0" encoding="utf-8"?>
<ds:datastoreItem xmlns:ds="http://schemas.openxmlformats.org/officeDocument/2006/customXml" ds:itemID="{38A9274D-C720-4876-81FC-AA7C4DED40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St Germaine</dc:creator>
  <cp:keywords/>
  <dc:description/>
  <cp:lastModifiedBy>Richard St Germaine</cp:lastModifiedBy>
  <cp:revision/>
  <dcterms:created xsi:type="dcterms:W3CDTF">2025-12-04T03:23:04Z</dcterms:created>
  <dcterms:modified xsi:type="dcterms:W3CDTF">2025-12-04T17:11:33Z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0x01010000887E8F89FA05409B172C97C1B9289B</vt:lpwstr>
  </property>
  <property fmtid="{D5CDD505-2E9C-101B-9397-08002B2CF9AE}" pid="3" name="MediaServiceImageTags">
    <vt:lpwstr/>
  </property>
</Properties>
</file>
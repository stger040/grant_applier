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stginnovation-my.sharepoint.com/personal/rebecca_stginnovation_com/Documents/"/>
    </mc:Choice>
  </mc:AlternateContent>
  <xr:revisionPtr revIDLastSave="0" documentId="8_{CA3DDEC1-CC2A-4A3F-9ED2-8ABBB08EE86B}" xr6:coauthVersionLast="47" xr6:coauthVersionMax="47" xr10:uidLastSave="{00000000-0000-0000-0000-000000000000}"/>
  <bookViews>
    <workbookView xWindow="-1020" yWindow="1440" windowWidth="12990" windowHeight="10425" xr2:uid="{F4CCE62E-2DC9-4414-8C80-31ED371E9F04}"/>
  </bookViews>
  <sheets>
    <sheet name="NSF25-544 SGDI"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11" i="1" l="1"/>
  <c r="E113" i="1" s="1"/>
  <c r="E107" i="1"/>
  <c r="E25" i="1"/>
  <c r="K25" i="1" l="1"/>
  <c r="J25" i="1"/>
  <c r="I25" i="1"/>
  <c r="H25" i="1"/>
  <c r="G25" i="1"/>
  <c r="F25" i="1"/>
  <c r="L24" i="1"/>
  <c r="L23" i="1"/>
  <c r="L22" i="1"/>
  <c r="L21" i="1"/>
  <c r="L20" i="1"/>
  <c r="L19" i="1"/>
  <c r="L18" i="1"/>
  <c r="L17" i="1"/>
  <c r="L16" i="1"/>
  <c r="L15" i="1"/>
  <c r="L14" i="1"/>
  <c r="L13" i="1"/>
  <c r="L25" i="1" l="1"/>
</calcChain>
</file>

<file path=xl/sharedStrings.xml><?xml version="1.0" encoding="utf-8"?>
<sst xmlns="http://schemas.openxmlformats.org/spreadsheetml/2006/main" count="160" uniqueCount="157">
  <si>
    <t>NSF 25-544 Category I: IHEART National Pathways Data &amp; AI Infrastructure</t>
  </si>
  <si>
    <t>Association of American Indian Physicians (AAIP): The Indigenous Health, Education, and Resources Taskforce (IHEART): SGDI</t>
  </si>
  <si>
    <t>Fiscal  Year One  2026 - Fiscal Year Five 2030</t>
  </si>
  <si>
    <t>FY One Q3 2026 through Q4 2026 (June 1, 2026 - September 31, 2026); FY2-5</t>
  </si>
  <si>
    <t>Line Item</t>
  </si>
  <si>
    <t>Description</t>
  </si>
  <si>
    <t>5 Year</t>
  </si>
  <si>
    <t>Employees</t>
  </si>
  <si>
    <t>Year 1 July 1, 2026 - Sept 30, 2026</t>
  </si>
  <si>
    <t>Year 2 Oct 1, 2026 - Sept 30, 2027</t>
  </si>
  <si>
    <t>Year 3 Oct 1, 2027 - Sept 30, 2028</t>
  </si>
  <si>
    <t>Year 4 Oct 1, 2028 - Sept 30, 2029</t>
  </si>
  <si>
    <t>Year 5 Oct 1, 2029 - Sept 30, 2030</t>
  </si>
  <si>
    <t>Total Budget Variance - Original</t>
  </si>
  <si>
    <t>Percent Total Budget Remaining - Revised</t>
  </si>
  <si>
    <t>Revenues</t>
  </si>
  <si>
    <t>Grant/Contract 25-544</t>
  </si>
  <si>
    <t>RATE</t>
  </si>
  <si>
    <t>VALUE</t>
  </si>
  <si>
    <t>Expenditures</t>
  </si>
  <si>
    <t>A.</t>
  </si>
  <si>
    <t>Salaries - Regular</t>
  </si>
  <si>
    <r>
      <t>PI/Technical Director, R. St. Germaine, PhD:</t>
    </r>
    <r>
      <rPr>
        <sz val="10"/>
        <color theme="1"/>
        <rFont val="Arial Narrow"/>
        <family val="2"/>
      </rPr>
      <t xml:space="preserve"> Year 1 FTE @100% at Base Rate $98.55/hr*520hr = $51,246.00.  Year 2 FTE @100% at Base Rate $98.55/hr*2080hr =$204,984.  Year 3 FTE @100% at Base Rate $98.55/hr*2080hr =$204,984. Year 4 FTE @100% at Base Rate $98.55/hr*2080hr= $204,984. Year 5 FTE @100% at Base Rate $98.55/hr*2080hr =$204,984. </t>
    </r>
    <r>
      <rPr>
        <b/>
        <sz val="10"/>
        <color theme="1"/>
        <rFont val="Arial Narrow"/>
        <family val="2"/>
      </rPr>
      <t>Total 5 YR Annual Salary = $871,182</t>
    </r>
    <r>
      <rPr>
        <sz val="10"/>
        <color theme="1"/>
        <rFont val="Arial Narrow"/>
        <family val="2"/>
      </rPr>
      <t xml:space="preserve"> </t>
    </r>
  </si>
  <si>
    <r>
      <rPr>
        <b/>
        <sz val="10"/>
        <color rgb="FF000000"/>
        <rFont val="Arial Narrow"/>
        <family val="2"/>
      </rPr>
      <t>Lead Data Engineer, M. St. Germaine, CSO</t>
    </r>
    <r>
      <rPr>
        <sz val="10"/>
        <color rgb="FF000000"/>
        <rFont val="Arial Narrow"/>
        <family val="2"/>
      </rPr>
      <t xml:space="preserve">: Year 1 FTE @100% at Base Rate $80/hr*520hr = $41,600. Year 2 FTE @100% at Base Rate $80/hr*2080hr = $166,400.  Year 3 FTE @100% at Base Rate $80/hr*2080hr = $166,400,. Year 4 FTE @100% at Base Rate $80/hr*2080hr = $166,400. Year 5 FTE @100% at Base Rate $80/hr*2080hr = $166,400.  </t>
    </r>
    <r>
      <rPr>
        <b/>
        <sz val="10"/>
        <color rgb="FF000000"/>
        <rFont val="Arial Narrow"/>
        <family val="2"/>
      </rPr>
      <t>Total 5 YR Annual Salary = $707,200</t>
    </r>
  </si>
  <si>
    <r>
      <rPr>
        <b/>
        <sz val="10"/>
        <color theme="1"/>
        <rFont val="Arial Narrow"/>
        <family val="2"/>
      </rPr>
      <t xml:space="preserve">Data Scientist, J GrayEagle, </t>
    </r>
    <r>
      <rPr>
        <sz val="10"/>
        <color theme="1"/>
        <rFont val="Arial Narrow"/>
        <family val="2"/>
      </rPr>
      <t xml:space="preserve">100% FTE Year 1 @Base rate  $60.00/hr*520 hours = $31,200; Year 2 FTE 100% @ $60.00/hr*2080 hours = $124,800; Year 3 FTE 100% @ $60.00/hr*2080 hours = $124,800; Year 4 FTE 100% @ $60.00/hr*2080 hours = $124,800; Year 5 FTE 100% @ $60.00/hr*2080 hours = $124,800.  </t>
    </r>
    <r>
      <rPr>
        <b/>
        <sz val="10"/>
        <color theme="1"/>
        <rFont val="Arial Narrow"/>
        <family val="2"/>
      </rPr>
      <t>Total 5 YR Annual Salary=$530,400</t>
    </r>
  </si>
  <si>
    <r>
      <rPr>
        <b/>
        <sz val="10"/>
        <color theme="1"/>
        <rFont val="Arial Narrow"/>
        <family val="2"/>
      </rPr>
      <t xml:space="preserve">Data Scientist, R. J. St Germaine PhD: </t>
    </r>
    <r>
      <rPr>
        <sz val="10"/>
        <color theme="1"/>
        <rFont val="Arial Narrow"/>
        <family val="2"/>
      </rPr>
      <t xml:space="preserve">100% FTE Year 1 @Base rate $60.00/hr*520 hours = $31,200; Year 2 FTE 100% @ $60.00/hr*2080 hours =124,800; Year 3 FTE 100% @ $60.00/hr*2080 hours = $124,800; Year 4 FTE 100% @ $60.00/hr*2080 hours = $124,800; Year 5 FTE 100% @ $60.00/hr*2080 hours = $124,800.  </t>
    </r>
    <r>
      <rPr>
        <b/>
        <sz val="10"/>
        <color theme="1"/>
        <rFont val="Arial Narrow"/>
        <family val="2"/>
      </rPr>
      <t>Total 5YR Annual Salary=$530,400</t>
    </r>
  </si>
  <si>
    <r>
      <rPr>
        <b/>
        <sz val="10"/>
        <color theme="1"/>
        <rFont val="Arial Narrow"/>
        <family val="2"/>
      </rPr>
      <t xml:space="preserve">Data Scientist,  TBD: </t>
    </r>
    <r>
      <rPr>
        <sz val="10"/>
        <color theme="1"/>
        <rFont val="Arial Narrow"/>
        <family val="2"/>
      </rPr>
      <t xml:space="preserve">100% FTE Year 1 @Base rate  $60.00/hr*520 hours = $31,200; Year 2 FTE 100% @ $60.00/hr*2080 hours = $124,800; Year 3 FTE 100% @ $60.00/hr*2080 hours = $124,800; Year 4 FTE 100% @ $60.00/hr*2080 hours = $124,800; Year 5 FTE 100% @ $60.00/hr*2080 hours = $124,800.  </t>
    </r>
    <r>
      <rPr>
        <b/>
        <sz val="10"/>
        <color theme="1"/>
        <rFont val="Arial Narrow"/>
        <family val="2"/>
      </rPr>
      <t>Total 5 YR Annual Salary=$530,400</t>
    </r>
  </si>
  <si>
    <r>
      <rPr>
        <b/>
        <sz val="10"/>
        <color theme="1"/>
        <rFont val="Arial Narrow"/>
        <family val="2"/>
      </rPr>
      <t xml:space="preserve">Machine Learning Operations (MLOps) Engineer I, T. Gibbs: </t>
    </r>
    <r>
      <rPr>
        <sz val="10"/>
        <color theme="1"/>
        <rFont val="Arial Narrow"/>
        <family val="2"/>
      </rPr>
      <t xml:space="preserve">Year 1 FTE @100% at Base Rate $72.15/hr*520hr = $37,518. Year 2 FTE @100% at Base Rate $72.15/hr*2080hr = $150,072. Year 3 FTE @100% at Base Rate $72.15/hr*2080hr = $150,072. Year 4 FTE @100% at Base Rate $72.15/hr*2080hr = $150,072. Year 5 FTE @100% at Base Rate $72.15/hr*2080hr = $150,072.   </t>
    </r>
    <r>
      <rPr>
        <b/>
        <sz val="10"/>
        <color theme="1"/>
        <rFont val="Arial Narrow"/>
        <family val="2"/>
      </rPr>
      <t>Total 5 YR Annual Salary = $637,806</t>
    </r>
  </si>
  <si>
    <r>
      <rPr>
        <b/>
        <sz val="10"/>
        <color theme="1"/>
        <rFont val="Arial Narrow"/>
        <family val="2"/>
      </rPr>
      <t>Software Engineer Intern, TBD</t>
    </r>
    <r>
      <rPr>
        <sz val="10"/>
        <color theme="1"/>
        <rFont val="Arial Narrow"/>
        <family val="2"/>
      </rPr>
      <t xml:space="preserve">: Year 1 FTE @25% at Base Rate $53.85/hr*130hr = $7,000.5. Year 2 FTE @25% at Base Rate $53.85/hr*520hr = $28,002. Year 3 FTE @25% at Base Rate $53.85/hr*520hr = $28,002. Year 4 FTE @25% at Base Rate $53.85/hr * 520hr = $28,002. Year 5 FTE @25% at Base Rate $53.85/hr * 520hr = $28,002.   </t>
    </r>
    <r>
      <rPr>
        <b/>
        <sz val="10"/>
        <color theme="1"/>
        <rFont val="Arial Narrow"/>
        <family val="2"/>
      </rPr>
      <t>Total 5 YR Annual Salary = $119,008.5</t>
    </r>
  </si>
  <si>
    <r>
      <rPr>
        <b/>
        <sz val="10"/>
        <color theme="1"/>
        <rFont val="Arial Narrow"/>
        <family val="2"/>
      </rPr>
      <t>Software Engineer III, TBD</t>
    </r>
    <r>
      <rPr>
        <sz val="10"/>
        <color theme="1"/>
        <rFont val="Arial Narrow"/>
        <family val="2"/>
      </rPr>
      <t xml:space="preserve">: Year 1 FTE @50% at Base Rate $91.35/hr*520hr = $23,751. Year 2 FTE @50% at Base Rate $91.35/hr*1040hr = $95,004. Year 3 FTE @50% at Base Rate $91.35/hr*1040hr = $95,004. Year 4 FTE @50% at Base Rate $91.35/h *1040hr = $95,004. Year 5 FTE @50% at Base Rate $91.35/hr*1040hr = $95,004.   </t>
    </r>
    <r>
      <rPr>
        <b/>
        <sz val="10"/>
        <color theme="1"/>
        <rFont val="Arial Narrow"/>
        <family val="2"/>
      </rPr>
      <t>Total 5 YR Annual Salary = $403,767</t>
    </r>
  </si>
  <si>
    <r>
      <rPr>
        <b/>
        <sz val="10"/>
        <color theme="1"/>
        <rFont val="Arial Narrow"/>
        <family val="2"/>
      </rPr>
      <t>Clinical AI Evaluator, B. Butcher, MD</t>
    </r>
    <r>
      <rPr>
        <sz val="10"/>
        <color theme="1"/>
        <rFont val="Arial Narrow"/>
        <family val="2"/>
      </rPr>
      <t xml:space="preserve">: Year 1 FTE @50% at Base Rate $38.47/hr*520hr = $10,002.2. Year 2 FTE @50% at Base Rate $38.47/hr*1040hr = $80,018. Year 3 FTE @50% at Base Rate $38.47/hr*1040hr = $80,018. Year 4 FTE @50% at Base Rate $38.47/hr*1040hr = $80,018. Year 5 FTE @50% at Base Rate $38.47/hr*1040hr = $80,018.  </t>
    </r>
    <r>
      <rPr>
        <b/>
        <sz val="10"/>
        <color theme="1"/>
        <rFont val="Arial Narrow"/>
        <family val="2"/>
      </rPr>
      <t xml:space="preserve"> Total 5 YR Annual Salary</t>
    </r>
    <r>
      <rPr>
        <sz val="10"/>
        <color theme="1"/>
        <rFont val="Arial Narrow"/>
        <family val="2"/>
      </rPr>
      <t xml:space="preserve"> = </t>
    </r>
    <r>
      <rPr>
        <b/>
        <sz val="10"/>
        <color theme="1"/>
        <rFont val="Arial Narrow"/>
        <family val="2"/>
      </rPr>
      <t>$330,074.2</t>
    </r>
  </si>
  <si>
    <r>
      <rPr>
        <b/>
        <sz val="10"/>
        <color theme="1"/>
        <rFont val="Arial Narrow"/>
        <family val="2"/>
      </rPr>
      <t>Evaluator, V. LeJoie:</t>
    </r>
    <r>
      <rPr>
        <sz val="10"/>
        <color theme="1"/>
        <rFont val="Arial Narrow"/>
        <family val="2"/>
      </rPr>
      <t xml:space="preserve"> 100% FTE Year 1 @100% at Base rate  $60.00/hr*520 hours = $31,200; Year 2 FTE 100% @ $60.00/hr*2080 hours = $124,800; Year 3 FTE 100% @ $60.00/hr*2080 hours = $124,800; Year 4 FTE 100% @ $60.00/hr*2080 hours = $124,800; Year 5 FTE 100% @ $60.00/hr*2080 hours = $124,800.  </t>
    </r>
    <r>
      <rPr>
        <b/>
        <sz val="10"/>
        <color theme="1"/>
        <rFont val="Arial Narrow"/>
        <family val="2"/>
      </rPr>
      <t>Total 5 YR Annual Salary=$530,400</t>
    </r>
  </si>
  <si>
    <r>
      <rPr>
        <b/>
        <sz val="10"/>
        <color theme="1"/>
        <rFont val="Arial Narrow"/>
        <family val="2"/>
      </rPr>
      <t>Systems Administrator:</t>
    </r>
    <r>
      <rPr>
        <sz val="10"/>
        <color theme="1"/>
        <rFont val="Arial Narrow"/>
        <family val="2"/>
      </rPr>
      <t xml:space="preserve"> 100% FTE Year 1 @100% at Base rate  $48.08/hr*520 hours = $25,001.6; Year 2 FTE 100% @ $48.08/hr*2080 hours = $100,006.4; Year 3 FTE 100% @ $48.08/hr*2080 hours = $100.006.4; Year 4 FTE 100% @ $48.08/hr*2080 hours = $100,006.4; Year 5 FTE 100% @ $48.08/hr*2080 hours = $100,006.4.  </t>
    </r>
    <r>
      <rPr>
        <b/>
        <sz val="10"/>
        <color theme="1"/>
        <rFont val="Arial Narrow"/>
        <family val="2"/>
      </rPr>
      <t>Total 5 YR Salary=$425,027.20</t>
    </r>
  </si>
  <si>
    <r>
      <rPr>
        <b/>
        <sz val="10"/>
        <color theme="1"/>
        <rFont val="Arial Narrow"/>
        <family val="2"/>
      </rPr>
      <t>Administrative Assistant:</t>
    </r>
    <r>
      <rPr>
        <sz val="10"/>
        <color theme="1"/>
        <rFont val="Arial Narrow"/>
        <family val="2"/>
      </rPr>
      <t xml:space="preserve"> 100% FTE Year 1 @100% at Base rate $25.00/hr*520 hours = $13,000; Year 2 FTE 100% @ $25.00/hr*2080 hours = $52,000; Year 3 FTE 100% @ $25.00/hr*2080 hours = $52,000; Year 4 FTE 100% @ $25.00/hr*2080 hours = $52,000; Year 5 FTE 100% @ $25.00/hr*2080 hours = $52,000.  </t>
    </r>
    <r>
      <rPr>
        <b/>
        <sz val="10"/>
        <color theme="1"/>
        <rFont val="Arial Narrow"/>
        <family val="2"/>
      </rPr>
      <t>Total Annual Salary=$221,000</t>
    </r>
  </si>
  <si>
    <t>TOTAL SALARY +D12:E25D28D11:E2D13:E25</t>
  </si>
  <si>
    <t>B.</t>
  </si>
  <si>
    <t>Fringe Benefits Rate for 5 years based on total salary</t>
  </si>
  <si>
    <t>Fringe Component</t>
  </si>
  <si>
    <t>5-Year Amount ($)</t>
  </si>
  <si>
    <t>Rate / Basis</t>
  </si>
  <si>
    <t>FICA/Medicare</t>
  </si>
  <si>
    <t>7.65% of salaries</t>
  </si>
  <si>
    <t>Worker's Compensation</t>
  </si>
  <si>
    <t>2.00% of salaries</t>
  </si>
  <si>
    <t>FUTA</t>
  </si>
  <si>
    <t>0.6% of first $7,000 per employee-year (55 employee-years)</t>
  </si>
  <si>
    <t>SUTA MN (Tech NAICS 54)</t>
  </si>
  <si>
    <t>1.05% of first $43,000 per employee-year (55 employee-years)</t>
  </si>
  <si>
    <t>401(k) retirement benefit</t>
  </si>
  <si>
    <t>3% of salaries</t>
  </si>
  <si>
    <t>Health Insurance</t>
  </si>
  <si>
    <t>$19,276 per eligible employee-year (55 employee-years)</t>
  </si>
  <si>
    <t>Dental Insurance</t>
  </si>
  <si>
    <t>$300 per eligible employee-year (55 employee-years)</t>
  </si>
  <si>
    <t>Vision/Eye Insurance</t>
  </si>
  <si>
    <t>$90 per eligible employee-year (55 employee-years)</t>
  </si>
  <si>
    <t>TOTAL SALARY BASE (intern excluded)</t>
  </si>
  <si>
    <t>TOTAL FRINGE</t>
  </si>
  <si>
    <t>TOTAL SALARY + FRINGE</t>
  </si>
  <si>
    <t xml:space="preserve">Fringe benefits in this proposal include employer-paid health, dental, and vision insurance (for benefit-eligible staff), employer retirement contributions (401(k) match), and statutory payroll-related costs required for a Minnesota-based for-profit employer. Payroll-related fringe includes the employer share of FICA/Medicare, federal unemployment tax (FUTA), Minnesota unemployment insurance (SUTA), and workers’ compensation insurance. These categories are explicitly recognized as allowable fringe components under Uniform Guidance §200.431. </t>
  </si>
  <si>
    <t>Fringe costs are calculated using the organization’s standard rates and fixed per-employee benefit costs. Payroll-based fringe items are applied as percentages of salary consistent with federal/state requirements, while insurance benefits are applied as fixed annual employer costs per eligible employee. Part-time intern personnel are not eligible for organization-sponsored health, dental, or vision plans; therefore, those insurance costs are not charged for the intern role. All fringe charges are based on actual expected costs, are reasonable, and are allocable to the proposed cyberinfrastructure activities supported by NSF OAC.</t>
  </si>
  <si>
    <t>Justification</t>
  </si>
  <si>
    <t>PI</t>
  </si>
  <si>
    <t>Dr. St. Germaine</t>
  </si>
  <si>
    <t xml:space="preserve">The lead data scientist provides tehcnical and scientific leadership for the entire data program. This role ensures the project 's analytic approach is methodologically sound, aligned with organizational goals, and delivers trustworthy outputs. </t>
  </si>
  <si>
    <t>CSO</t>
  </si>
  <si>
    <t>M. St. Germaine</t>
  </si>
  <si>
    <t xml:space="preserve">The Chief Strategic Officer sets the technical vision and analytic roadmap for the data team, machine learning operations, leads model design, feature strategies, experiemtnal methodogy and validation standards. </t>
  </si>
  <si>
    <t>CEO</t>
  </si>
  <si>
    <t>Dr. R. St. Germaine</t>
  </si>
  <si>
    <t xml:space="preserve">The CEO duties as a data scientist  mentor data scientists, review codes, models and technical deliverables. Dr. St. Germaine will communicate results to execcutives, partners, funders, and stakeholders who work with the SGDI data team. </t>
  </si>
  <si>
    <t>Data Scientist</t>
  </si>
  <si>
    <t>J. Gray Eagle</t>
  </si>
  <si>
    <t>The data scientist team will be led by the senior data scientist to oversee data models, analytical appropaches, ensure methodologies are robust and align goals for successful outocmes. Produce dashboards, technical reports, and explainable findings.Collaborate with engineering and MLOps on deployability.</t>
  </si>
  <si>
    <t>ML Ops</t>
  </si>
  <si>
    <t>T. Gibbs</t>
  </si>
  <si>
    <t xml:space="preserve">Sets the technical vision and analytic roadmap for data/ML products. The machine learning operations team will output generous LLM  and communicate results to the rest of the organization. The MLOps Manager ensures models and data pipelines are reliably deployed, monitored, and maintained in production. This role converts prototypes into stable systems. Core duties: Builds/maintains CI/CD pipelines for ML models and data workflows; Monitors model drift, data quality, latency, and uptime SLAs; Implements containerization, versioning, and rollback mechanisms. </t>
  </si>
  <si>
    <t>Software Engineer III</t>
  </si>
  <si>
    <t>TBD</t>
  </si>
  <si>
    <t xml:space="preserve">The Software Engineer develops scalable, user-facing, and API-driven systems that integrate data outputs into products and workflows.Core duties:Builds data services, APIs, ETL integrations, and backend systems. Optimizes performance, reliability, and system security. Writes tests, documentation and maintains code quality standards. </t>
  </si>
  <si>
    <t>Clinical AI Evaluator</t>
  </si>
  <si>
    <t>Dr. Butcher, MD</t>
  </si>
  <si>
    <t>Coordinates regional data collection/partner engagement. Ensures local requirements are reflected in analytics design. Supports rollout, training, and feedback loops with stakeholders</t>
  </si>
  <si>
    <t>Evaluator</t>
  </si>
  <si>
    <t>V. LeJoie</t>
  </si>
  <si>
    <t>The Evaluator provides independent assessment of progress, outcomes, and impact, ensuring product validity and accountability to milestones or funder requirements. Designs evaluation frameworks, KPIs, and outcome measures. Audits model performance, usability, equity, and real-world impact. Produces periodic evaluation reports and improvement recommendations. Validates that deliverables meet stated objectives and standards.</t>
  </si>
  <si>
    <t>Systems Administrator</t>
  </si>
  <si>
    <t>The Systems Administrator maintains secure and reliable infrastructure supporting data ingestion, storage, compute, and access control. Manages servers/cloud resources, identity and access management (IAM). Ensures backups, disaster recovery, patching, and vulnerability management. Monitors system health, storage, and compute efficiency.</t>
  </si>
  <si>
    <t>Administrative Assistant</t>
  </si>
  <si>
    <t xml:space="preserve">Manages daily operations of the data center. Documents and assists team members. </t>
  </si>
  <si>
    <t>Direct Costs</t>
  </si>
  <si>
    <t>Stipends</t>
  </si>
  <si>
    <t xml:space="preserve">Justification: Stipends for </t>
  </si>
  <si>
    <r>
      <rPr>
        <b/>
        <sz val="10"/>
        <color theme="1"/>
        <rFont val="Times New Roman"/>
        <family val="1"/>
      </rPr>
      <t>Travel/Training</t>
    </r>
    <r>
      <rPr>
        <sz val="10"/>
        <color theme="1"/>
        <rFont val="Times New Roman"/>
        <family val="1"/>
      </rPr>
      <t xml:space="preserve">  U.S. Indigenous Data Sovereignty &amp; Governance Summit, April 14-17, 2026, Tucson, AZ</t>
    </r>
  </si>
  <si>
    <r>
      <rPr>
        <i/>
        <u/>
        <sz val="10"/>
        <color theme="1"/>
        <rFont val="Times New Roman"/>
        <family val="1"/>
      </rPr>
      <t xml:space="preserve">Justification: Registration </t>
    </r>
    <r>
      <rPr>
        <i/>
        <sz val="10"/>
        <color theme="1"/>
        <rFont val="Times New Roman"/>
        <family val="1"/>
      </rPr>
      <t xml:space="preserve">fee $400, dinner $100, IDSov seminar $250 = $750 x 10 scientist employees= </t>
    </r>
    <r>
      <rPr>
        <b/>
        <i/>
        <sz val="10"/>
        <color theme="1"/>
        <rFont val="Times New Roman"/>
        <family val="1"/>
      </rPr>
      <t>$7,500</t>
    </r>
    <r>
      <rPr>
        <i/>
        <sz val="10"/>
        <color theme="1"/>
        <rFont val="Times New Roman"/>
        <family val="1"/>
      </rPr>
      <t xml:space="preserve">; </t>
    </r>
    <r>
      <rPr>
        <i/>
        <u/>
        <sz val="10"/>
        <color theme="1"/>
        <rFont val="Times New Roman"/>
        <family val="1"/>
      </rPr>
      <t>Airfare</t>
    </r>
    <r>
      <rPr>
        <i/>
        <sz val="10"/>
        <color theme="1"/>
        <rFont val="Times New Roman"/>
        <family val="1"/>
      </rPr>
      <t>= $350 RT from MSP to Tucson, AZ/person x 10 person =</t>
    </r>
    <r>
      <rPr>
        <b/>
        <i/>
        <sz val="10"/>
        <color theme="1"/>
        <rFont val="Times New Roman"/>
        <family val="1"/>
      </rPr>
      <t>$3,500</t>
    </r>
    <r>
      <rPr>
        <i/>
        <sz val="10"/>
        <color theme="1"/>
        <rFont val="Times New Roman"/>
        <family val="1"/>
      </rPr>
      <t xml:space="preserve">; </t>
    </r>
    <r>
      <rPr>
        <i/>
        <u/>
        <sz val="10"/>
        <color theme="1"/>
        <rFont val="Times New Roman"/>
        <family val="1"/>
      </rPr>
      <t>Baggage</t>
    </r>
    <r>
      <rPr>
        <i/>
        <sz val="10"/>
        <color theme="1"/>
        <rFont val="Times New Roman"/>
        <family val="1"/>
      </rPr>
      <t xml:space="preserve"> $100 RT x 10 person = </t>
    </r>
    <r>
      <rPr>
        <b/>
        <i/>
        <sz val="10"/>
        <color theme="1"/>
        <rFont val="Times New Roman"/>
        <family val="1"/>
      </rPr>
      <t>$1,000</t>
    </r>
    <r>
      <rPr>
        <i/>
        <sz val="10"/>
        <color theme="1"/>
        <rFont val="Times New Roman"/>
        <family val="1"/>
      </rPr>
      <t xml:space="preserve">;  AZ </t>
    </r>
    <r>
      <rPr>
        <i/>
        <u/>
        <sz val="10"/>
        <color theme="1"/>
        <rFont val="Times New Roman"/>
        <family val="1"/>
      </rPr>
      <t xml:space="preserve">per diem </t>
    </r>
    <r>
      <rPr>
        <i/>
        <sz val="10"/>
        <color theme="1"/>
        <rFont val="Times New Roman"/>
        <family val="1"/>
      </rPr>
      <t xml:space="preserve">meals = $74/day and lodging = $158/night for a total=$232 for one person. For 10 persons: $232 x 10 = $2,230 x 4 nights = </t>
    </r>
    <r>
      <rPr>
        <b/>
        <i/>
        <sz val="10"/>
        <color theme="1"/>
        <rFont val="Times New Roman"/>
        <family val="1"/>
      </rPr>
      <t>$8920;</t>
    </r>
    <r>
      <rPr>
        <i/>
        <sz val="10"/>
        <color theme="1"/>
        <rFont val="Times New Roman"/>
        <family val="1"/>
      </rPr>
      <t xml:space="preserve">  (April 13 arrive, leave on April 17 to MSP); </t>
    </r>
    <r>
      <rPr>
        <i/>
        <u/>
        <sz val="10"/>
        <color theme="1"/>
        <rFont val="Times New Roman"/>
        <family val="1"/>
      </rPr>
      <t>Ubers</t>
    </r>
    <r>
      <rPr>
        <i/>
        <sz val="10"/>
        <color theme="1"/>
        <rFont val="Times New Roman"/>
        <family val="1"/>
      </rPr>
      <t xml:space="preserve">: $70 RT x 2 person per car x 5=$700;  Total Data Trip=$20,700 .  </t>
    </r>
  </si>
  <si>
    <t>Travel for 2 Data Conferences/STEM Oral/PodiumPresentations (TBD):</t>
  </si>
  <si>
    <r>
      <rPr>
        <i/>
        <sz val="10"/>
        <color theme="1"/>
        <rFont val="Times New Roman"/>
        <family val="1"/>
      </rPr>
      <t xml:space="preserve">Travel Per Conference: Justification: Students and collaborators will need to participate in </t>
    </r>
    <r>
      <rPr>
        <b/>
        <i/>
        <sz val="10"/>
        <color theme="1"/>
        <rFont val="Times New Roman"/>
        <family val="1"/>
      </rPr>
      <t>STEM conferences 1) American Indian Science &amp; Engineering Society</t>
    </r>
    <r>
      <rPr>
        <i/>
        <sz val="10"/>
        <color theme="1"/>
        <rFont val="Times New Roman"/>
        <family val="1"/>
      </rPr>
      <t xml:space="preserve">. 2) </t>
    </r>
    <r>
      <rPr>
        <b/>
        <i/>
        <sz val="10"/>
        <color theme="1"/>
        <rFont val="Times New Roman"/>
        <family val="1"/>
      </rPr>
      <t>ISPOR—The Professional Society for Health Economics and Outcomes Research (HEOR).</t>
    </r>
    <r>
      <rPr>
        <i/>
        <sz val="10"/>
        <color theme="1"/>
        <rFont val="Times New Roman"/>
        <family val="1"/>
      </rPr>
      <t xml:space="preserve"> ISPOR leads global economies for research. ISPOR is the leading source for scientific conferences, peer-reviewed and MEDLINE®-indexed publications, good practices guidance, education, collaboration, and tools/resources in the HEOR field. Standard estimated Registration Fee $600, Airfare $600 RT, Baggage $100, per diem $319, Rental car $115/day x 3 days = $345 $600+$600+$100+$319+$345= $1,964 Per person. For 10 persons @ 2 conference per year for 5 years = $1,964 x 2 conference = $3,928 x 10 person = $39,280 x 5 years = $196,40</t>
    </r>
    <r>
      <rPr>
        <sz val="10"/>
        <color theme="1"/>
        <rFont val="Times New Roman"/>
        <family val="1"/>
      </rPr>
      <t>0</t>
    </r>
  </si>
  <si>
    <t>Travel conference for  NSF Grant Strategic Dissemination AI Infrastructure Meeting TBD, Required per grant</t>
  </si>
  <si>
    <t xml:space="preserve">Justification: 1 PI, CSO and 2 Co-PIs  Airfare= $600 RT from MSP to TBD locationperson x 2 persons =$1,200; Baggage $100 RT x 2 persons = $200;  High per diem meals = $74/day and lodging = $158/night for a total = $232 for one person. For 2 persons: $232 x 2= $464 x 4 nights = $928; Ubers: $70 RT x 2 person per car x  = $140. Total Data Trip to  TBD location =$2,342 x 5= $11,710 </t>
  </si>
  <si>
    <t>Travel conference for National Tribal Health Conference, April 7 - 9, 2026, Oklahoma City, OK</t>
  </si>
  <si>
    <t xml:space="preserve">Justification: Registration fee $400, dinner $100, Topic seminar $250 = $750  (2) employees= $7,500; Airfare= $350 RT from MSP to OKC, OK person x 10 person =$3,500; Baggage $100 RT x 10 person = $1,000;  OK per diem meals = $74/day and lodging = $158/night for a total = $232 for one person. For  10 persons: $232 x 10 = $2,230 x 4 nights = $8,920.; Ubers: $70 RT x 2 person per car x 5 = $700. Total Data Trip to Oklahoma City, OK   </t>
  </si>
  <si>
    <t>Mileage</t>
  </si>
  <si>
    <t xml:space="preserve">Justification 800 miles/mo x 12mo= 9600mi per year  x 0.70 per mile= $6,720 x 5 year =$33,600 </t>
  </si>
  <si>
    <t xml:space="preserve">Rent </t>
  </si>
  <si>
    <t>Office space = $2,322/mo at Duluth Technology Village, MN x 12mo per year = $27,864 per year; $2,7864 x 5yr= $139,320</t>
  </si>
  <si>
    <t>Repairs, Maintenance - Technology</t>
  </si>
  <si>
    <t>Justification: For ongoing maintenance, service contracts, or minor, non-capitalized repairs to existing equipment.$25,000 per year x 5 years = $125,000</t>
  </si>
  <si>
    <t>D.</t>
  </si>
  <si>
    <t>Supplies, Office</t>
  </si>
  <si>
    <t>Justification: Miscellaneous office supplies, desks, lighting, including internal printing (business cards, labels etc) $650/month x 12 =$7,800/year x 5 years= $39,000</t>
  </si>
  <si>
    <t xml:space="preserve">Supplies - Computer/Printer/Security Software </t>
  </si>
  <si>
    <t>HP Victus Laptop  4K = $1,500 x 8=$12,000; $800 x 4=$3,200; Desktop $3,000 x 3 = $9,000; $1,500 x 4=$6,000= $30,000 Total</t>
  </si>
  <si>
    <t>Microsoft Office Professional</t>
  </si>
  <si>
    <t>F.</t>
  </si>
  <si>
    <t>AVG Protection (for 10 devices)</t>
  </si>
  <si>
    <t>Dell monitor $190x10 stations</t>
  </si>
  <si>
    <t>G.</t>
  </si>
  <si>
    <t>Cellphone = $500 iPhone, or google pixel, or samsung galaxy x 12 = $6000</t>
  </si>
  <si>
    <t>Asurion Cellphone Insurance $80 per cellphone per person per year, $80 x 12 = $960 for 12 persons per year $960 x 5 = $4800 for 12 persons for 5 years</t>
  </si>
  <si>
    <t>Cellphone accessories , case = $15, screen protector = $20 $15+$20=$35 per person x 12 = $420 for 12 persons</t>
  </si>
  <si>
    <r>
      <rPr>
        <b/>
        <sz val="10"/>
        <rFont val="Times New Roman"/>
        <family val="1"/>
      </rPr>
      <t>Software</t>
    </r>
    <r>
      <rPr>
        <sz val="10"/>
        <rFont val="Times New Roman"/>
        <family val="1"/>
      </rPr>
      <t xml:space="preserve"> </t>
    </r>
  </si>
  <si>
    <t>NVivo Teams version 15 qualitative software: Supports analyzing various data types, including text, audio, video, and images. Cost $2,500 per year per organization  x 5 years = $10,000</t>
  </si>
  <si>
    <t xml:space="preserve">NVivo Collaborative Cloud, $295 per year per person (Evaluator and Data Scientist) user in addition to the license fee. $295 x 2= $590 per year; $590 x 5 years = $14,750 Total </t>
  </si>
  <si>
    <t>IBM SPSS license for quantitative data analysis program for 12 months</t>
  </si>
  <si>
    <t>Printer: Epson WF EmC7100 MFP = $2150</t>
  </si>
  <si>
    <t>Justification: Good efficient printer for main office to print and share reports for dissemination</t>
  </si>
  <si>
    <t>Toner/Ink: Epson  T13V Black =193XL x2 refills Magenta=$144 Cyan=$144 Yellow=$144 =$818x3=$2454x5=$12,270</t>
  </si>
  <si>
    <t>Printer: HP LaserJet Pro  M479fdw Wireless Color Laser</t>
  </si>
  <si>
    <t>Ink CartridgesHP LaserJet Pro (4 colors) 414X Black XL, Cyan, Yellow, and Red= $150 per quarter x 4 quarters/yr= $600per year x 5 years=$3,000</t>
  </si>
  <si>
    <t>Total Ink Supplies = $15, 270</t>
  </si>
  <si>
    <t>Peripherals</t>
  </si>
  <si>
    <t>Device mouse</t>
  </si>
  <si>
    <t>32 GB Jump Drives</t>
  </si>
  <si>
    <t xml:space="preserve">Charge cords $100, usb/hdmi adapter hub $35 100+35= 135 per laptop, $1620 for 12 laptops </t>
  </si>
  <si>
    <t xml:space="preserve">Logitech headset $35 x 8 person users for Zoom call meetings to preserve privacy. </t>
  </si>
  <si>
    <t>H.</t>
  </si>
  <si>
    <t>Memberships, Certifications, Dues, Fees</t>
  </si>
  <si>
    <t>Data Sponsorship, Society memberships Fees $300 per person x2 per year x 10 salaried persons = $6,000 x 5 years = $30,000</t>
  </si>
  <si>
    <t>Utilities - General x 5 years</t>
  </si>
  <si>
    <t>Water: $18,750 per year x 5 year = $93,750</t>
  </si>
  <si>
    <t xml:space="preserve">Electric: $18,75 per year x 5 year = $93,750 </t>
  </si>
  <si>
    <t>J.</t>
  </si>
  <si>
    <t>Garbage: $18,750 per year x 5year = $93,750</t>
  </si>
  <si>
    <t>Heat: $18,750 per year x 5 year = $93,750</t>
  </si>
  <si>
    <t>K.</t>
  </si>
  <si>
    <t>Internet large scale</t>
  </si>
  <si>
    <t>Justification: Hosting dedicated high internet and high-traffic data centers. $1,000 per month x 12 month/year = $12,000 per year x 5 year = $60,000</t>
  </si>
  <si>
    <t>Average dedicated internet access pricing in 2025
True DIA pricing depends on factors like bandwidth, provider, and service terms. Below is a breakdown of typical costs for 2025 based on current market rates:
100 Mbps: $500–$800 per month
1 Gbps: $1,000–$1,500 per month
10 Gbps: $4,000–$7,500 per month
Small businesses typically need 100 Mbps to 500 Mbps, while enterprises often require 1 Gbps or more. A small business DIA is likely looking at a cost range of $500–$1,000 per month. Enterprise-level DIA costs are likely to land in the $1,500–$7,500 per month (for higher speeds and redundancy) range.Speed: 500 Mbps to 1 Gbps (1000 Mbps) or more</t>
  </si>
  <si>
    <t>Activities: Running multiple servers, hosting applications, significant data backups, and handling heavy cloud-based computing.</t>
  </si>
  <si>
    <t>Computer Hardware and Equipment</t>
  </si>
  <si>
    <t xml:space="preserve">Justification: Used for the purchase of the physical servers and GPUs themselves. These items are often capitalized. For our small business, SGDI carefully planned infrastructure for hosting 22,000 + users at any given time:  machine learning operations, projected Large Language Model development and training and other academic research that also involves machine learning and AI training, GPUs are used for research both for students, faculty, and researchers. Additional details are in the Equipment Section of the proposal. </t>
  </si>
  <si>
    <t>SUBTOTAL</t>
  </si>
  <si>
    <t>Contractors/Consultants</t>
  </si>
  <si>
    <t>Justification: Contractors for Emergencies, Subject Matter Experts: Legal advisement, Cultural practices, professional development for AI advancement; Education curriculum development K-12, secondary and university level teachers and medical professions faculty for content in CI for ML, LLM development; data professional training, stipends for participation in research or STEM training programs, travel allowances, registration fees paid on behalf of participants or trainees in conenction with meetings, conferences, symposia and training projects; temporary dependent care, per diem paid directly for participant training;  and other supportive documentation services as enumerated in SGDI policy and procedures for training. This project will follow grant compliance policies as noted in the 2 CFR 200.302(b)(3) for operation of the NSF 25-544 Category I: IHEART National Pathways Data &amp; AI Infrastructure .$12,00 per year x 5 year = $60,000</t>
  </si>
  <si>
    <t>subtotal</t>
  </si>
  <si>
    <t xml:space="preserve">TOTAL COST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</si>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</sst>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33">
    <font>
      <sz val="11"/>
      <color theme="1"/>
      <name val="Aptos Narrow"/>
      <family val="2"/>
      <scheme val="minor"/>
    </font>
    <font>
      <sz val="11"/>
      <color theme="1"/>
      <name val="Aptos Narrow"/>
      <family val="2"/>
      <scheme val="minor"/>
    </font>
    <font>
      <i/>
      <sz val="11"/>
      <color rgb="FF7F7F7F"/>
      <name val="Aptos Narrow"/>
      <family val="2"/>
      <scheme val="minor"/>
    </font>
    <font>
      <sz val="11"/>
      <color theme="1"/>
      <name val="Arial Narrow"/>
      <family val="2"/>
    </font>
    <font>
      <sz val="10"/>
      <color theme="1"/>
      <name val="Arial Narrow"/>
      <family val="2"/>
    </font>
    <font>
      <b/>
      <sz val="10"/>
      <color theme="1"/>
      <name val="Arial Narrow"/>
      <family val="2"/>
    </font>
    <font>
      <i/>
      <sz val="10"/>
      <color theme="1"/>
      <name val="Arial Narrow"/>
      <family val="2"/>
    </font>
    <font>
      <i/>
      <u val="singleAccounting"/>
      <sz val="10"/>
      <color theme="1"/>
      <name val="Arial Narrow"/>
      <family val="2"/>
    </font>
    <font>
      <b/>
      <i/>
      <sz val="10"/>
      <color theme="1"/>
      <name val="Arial Narrow"/>
      <family val="2"/>
    </font>
    <font>
      <sz val="10"/>
      <color rgb="FF000000"/>
      <name val="Arial Narrow"/>
      <family val="2"/>
    </font>
    <font>
      <b/>
      <sz val="10"/>
      <color rgb="FF000000"/>
      <name val="Arial Narrow"/>
      <family val="2"/>
    </font>
    <font>
      <sz val="10"/>
      <name val="Arial Narrow"/>
      <family val="2"/>
    </font>
    <font>
      <b/>
      <sz val="10"/>
      <name val="Arial Narrow"/>
      <family val="2"/>
    </font>
    <font>
      <b/>
      <u val="doubleAccounting"/>
      <sz val="10"/>
      <color theme="1"/>
      <name val="Arial Narrow"/>
      <family val="2"/>
    </font>
    <font>
      <u val="doubleAccounting"/>
      <sz val="10"/>
      <color theme="1"/>
      <name val="Arial Narrow"/>
      <family val="2"/>
    </font>
    <font>
      <i/>
      <sz val="10"/>
      <name val="Arial Narrow"/>
      <family val="2"/>
    </font>
    <font>
      <sz val="12"/>
      <color theme="1"/>
      <name val="Arial Narrow"/>
      <family val="2"/>
    </font>
    <font>
      <i/>
      <sz val="10"/>
      <color rgb="FF7F7F7F"/>
      <name val="Arial Narrow"/>
      <family val="2"/>
    </font>
    <font>
      <b/>
      <sz val="12"/>
      <color theme="1"/>
      <name val="Arial Narrow"/>
      <family val="2"/>
    </font>
    <font>
      <b/>
      <u/>
      <sz val="10"/>
      <color theme="1"/>
      <name val="Arial Narrow"/>
      <family val="2"/>
    </font>
    <font>
      <b/>
      <sz val="11"/>
      <color theme="1"/>
      <name val="Times New Roman"/>
      <family val="1"/>
    </font>
    <font>
      <sz val="11"/>
      <color theme="1"/>
      <name val="Times New Roman"/>
      <family val="1"/>
    </font>
    <font>
      <i/>
      <sz val="10"/>
      <color rgb="FF0A0A0A"/>
      <name val="Times New Roman"/>
      <family val="1"/>
    </font>
    <font>
      <sz val="10"/>
      <color theme="1"/>
      <name val="Times New Roman"/>
      <family val="1"/>
    </font>
    <font>
      <b/>
      <sz val="10"/>
      <color theme="1"/>
      <name val="Times New Roman"/>
      <family val="1"/>
    </font>
    <font>
      <i/>
      <sz val="10"/>
      <color theme="1"/>
      <name val="Times New Roman"/>
      <family val="1"/>
    </font>
    <font>
      <i/>
      <u/>
      <sz val="10"/>
      <color theme="1"/>
      <name val="Times New Roman"/>
      <family val="1"/>
    </font>
    <font>
      <b/>
      <i/>
      <sz val="10"/>
      <color theme="1"/>
      <name val="Times New Roman"/>
      <family val="1"/>
    </font>
    <font>
      <i/>
      <sz val="10"/>
      <name val="Times New Roman"/>
      <family val="1"/>
    </font>
    <font>
      <sz val="10"/>
      <name val="Times New Roman"/>
      <family val="1"/>
    </font>
    <font>
      <b/>
      <sz val="10"/>
      <name val="Times New Roman"/>
      <family val="1"/>
    </font>
    <font>
      <sz val="11"/>
      <name val="Times New Roman"/>
      <family val="1"/>
    </font>
    <font>
      <sz val="10"/>
      <color theme="1"/>
      <name val="Aptos Narrow"/>
      <family val="2"/>
      <scheme val="minor"/>
    </font>
  </fonts>
  <fills count="2">
    <fill>
      <patternFill patternType="none"/>
    </fill>
    <fill>
      <patternFill patternType="gray125"/>
    </fill>
  </fills>
  <borders count="3">
    <border>
      <left/>
      <right/>
      <top/>
      <bottom/>
      <diagonal/>
    </border>
    <border>
      <left style="thin">
        <color rgb="FF999999"/>
      </left>
      <right style="thin">
        <color rgb="FF999999"/>
      </right>
      <top style="thin">
        <color rgb="FF999999"/>
      </top>
      <bottom style="thin">
        <color rgb="FF999999"/>
      </bottom>
      <diagonal/>
    </border>
    <border>
      <left style="thin">
        <color auto="1"/>
      </left>
      <right style="thin">
        <color auto="1"/>
      </right>
      <top style="thin">
        <color auto="1"/>
      </top>
      <bottom style="thin">
        <color auto="1"/>
      </bottom>
      <diagonal/>
    </border>
  </borders>
  <cellStyleXfs count="3">
    <xf numFmtId="0" fontId="0" fillId="0" borderId="0"/>
    <xf numFmtId="9" fontId="1" fillId="0" borderId="0" applyFont="0" applyFill="0" applyBorder="0" applyAlignment="0" applyProtection="0"/>
    <xf numFmtId="0" fontId="2" fillId="0" borderId="0" applyNumberFormat="0" applyFill="0" applyBorder="0" applyAlignment="0" applyProtection="0"/>
  </cellStyleXfs>
  <cellXfs count="66">
    <xf numFmtId="0" fontId="0" fillId="0" borderId="0" xfId="0"/>
    <xf numFmtId="0" fontId="3" fillId="0" borderId="0" xfId="0" applyFont="1"/>
    <xf numFmtId="0" fontId="4" fillId="0" borderId="0" xfId="0" applyFont="1"/>
    <xf numFmtId="44" fontId="4" fillId="0" borderId="0" xfId="0" applyNumberFormat="1" applyFont="1"/>
    <xf numFmtId="9" fontId="4" fillId="0" borderId="0" xfId="1" applyFont="1"/>
    <xf numFmtId="0" fontId="5" fillId="0" borderId="0" xfId="0" applyFont="1" applyAlignment="1">
      <alignment horizontal="center"/>
    </xf>
    <xf numFmtId="44" fontId="5" fillId="0" borderId="0" xfId="0" applyNumberFormat="1" applyFont="1"/>
    <xf numFmtId="0" fontId="4" fillId="0" borderId="0" xfId="0" applyFont="1" applyAlignment="1">
      <alignment horizontal="center"/>
    </xf>
    <xf numFmtId="44" fontId="4" fillId="0" borderId="0" xfId="0" applyNumberFormat="1" applyFont="1" applyAlignment="1">
      <alignment horizontal="center"/>
    </xf>
    <xf numFmtId="44" fontId="5" fillId="0" borderId="0" xfId="0" applyNumberFormat="1" applyFont="1" applyAlignment="1">
      <alignment horizontal="center"/>
    </xf>
    <xf numFmtId="0" fontId="6" fillId="0" borderId="0" xfId="0" applyFont="1"/>
    <xf numFmtId="0" fontId="6" fillId="0" borderId="0" xfId="0" applyFont="1" applyAlignment="1">
      <alignment horizontal="center"/>
    </xf>
    <xf numFmtId="44" fontId="7" fillId="0" borderId="0" xfId="0" applyNumberFormat="1" applyFont="1" applyAlignment="1">
      <alignment horizontal="center" wrapText="1"/>
    </xf>
    <xf numFmtId="9" fontId="7" fillId="0" borderId="0" xfId="1" applyFont="1" applyAlignment="1">
      <alignment horizontal="center" wrapText="1"/>
    </xf>
    <xf numFmtId="0" fontId="8" fillId="0" borderId="0" xfId="0" applyFont="1"/>
    <xf numFmtId="44" fontId="4" fillId="0" borderId="0" xfId="0" applyNumberFormat="1" applyFont="1" applyAlignment="1">
      <alignment wrapText="1"/>
    </xf>
    <xf numFmtId="0" fontId="4" fillId="0" borderId="0" xfId="0" applyFont="1" applyAlignment="1">
      <alignment wrapText="1"/>
    </xf>
    <xf numFmtId="0" fontId="4" fillId="0" borderId="0" xfId="1" applyNumberFormat="1" applyFont="1"/>
    <xf numFmtId="0" fontId="5" fillId="0" borderId="0" xfId="0" applyFont="1"/>
    <xf numFmtId="0" fontId="5" fillId="0" borderId="1" xfId="0" applyFont="1" applyBorder="1" applyAlignment="1">
      <alignment horizontal="right" wrapText="1"/>
    </xf>
    <xf numFmtId="44" fontId="4" fillId="0" borderId="0" xfId="0" applyNumberFormat="1" applyFont="1" applyAlignment="1">
      <alignment horizontal="right"/>
    </xf>
    <xf numFmtId="0" fontId="9" fillId="0" borderId="0" xfId="0" applyFont="1" applyAlignment="1">
      <alignment horizontal="right" wrapText="1"/>
    </xf>
    <xf numFmtId="0" fontId="4" fillId="0" borderId="0" xfId="0" applyFont="1" applyAlignment="1">
      <alignment horizontal="right" wrapText="1"/>
    </xf>
    <xf numFmtId="0" fontId="4" fillId="0" borderId="0" xfId="0" applyFont="1" applyAlignment="1">
      <alignment horizontal="right"/>
    </xf>
    <xf numFmtId="44" fontId="5" fillId="0" borderId="0" xfId="0" applyNumberFormat="1" applyFont="1" applyAlignment="1">
      <alignment horizontal="right"/>
    </xf>
    <xf numFmtId="0" fontId="5" fillId="0" borderId="0" xfId="0" applyFont="1" applyAlignment="1">
      <alignment horizontal="right"/>
    </xf>
    <xf numFmtId="44" fontId="11" fillId="0" borderId="0" xfId="0" applyNumberFormat="1" applyFont="1"/>
    <xf numFmtId="44" fontId="12" fillId="0" borderId="0" xfId="0" applyNumberFormat="1" applyFont="1"/>
    <xf numFmtId="44" fontId="13" fillId="0" borderId="0" xfId="0" applyNumberFormat="1" applyFont="1"/>
    <xf numFmtId="0" fontId="4" fillId="0" borderId="0" xfId="0" applyFont="1" applyAlignment="1">
      <alignment horizontal="left" vertical="center" wrapText="1"/>
    </xf>
    <xf numFmtId="0" fontId="4" fillId="0" borderId="0" xfId="0" applyFont="1" applyAlignment="1">
      <alignment horizontal="center" wrapText="1"/>
    </xf>
    <xf numFmtId="0" fontId="4" fillId="0" borderId="0" xfId="0" applyFont="1" applyAlignment="1">
      <alignment horizontal="left" wrapText="1"/>
    </xf>
    <xf numFmtId="0" fontId="6" fillId="0" borderId="0" xfId="0" applyFont="1" applyAlignment="1">
      <alignment horizontal="right" wrapText="1"/>
    </xf>
    <xf numFmtId="0" fontId="15" fillId="0" borderId="0" xfId="2" applyFont="1" applyAlignment="1">
      <alignment horizontal="right" wrapText="1"/>
    </xf>
    <xf numFmtId="44" fontId="14" fillId="0" borderId="0" xfId="0" applyNumberFormat="1" applyFont="1"/>
    <xf numFmtId="0" fontId="16" fillId="0" borderId="0" xfId="0" applyFont="1"/>
    <xf numFmtId="0" fontId="17" fillId="0" borderId="0" xfId="2" applyFont="1"/>
    <xf numFmtId="44" fontId="5" fillId="0" borderId="0" xfId="1" applyNumberFormat="1" applyFont="1"/>
    <xf numFmtId="0" fontId="18" fillId="0" borderId="0" xfId="0" applyFont="1"/>
    <xf numFmtId="44" fontId="19" fillId="0" borderId="0" xfId="0" applyNumberFormat="1" applyFont="1"/>
    <xf numFmtId="44" fontId="3" fillId="0" borderId="0" xfId="0" applyNumberFormat="1" applyFont="1"/>
    <xf numFmtId="0" fontId="22" fillId="0" borderId="0" xfId="0" applyFont="1" applyAlignment="1">
      <alignment horizontal="right" wrapText="1"/>
    </xf>
    <xf numFmtId="0" fontId="23" fillId="0" borderId="0" xfId="0" applyFont="1"/>
    <xf numFmtId="44" fontId="23" fillId="0" borderId="0" xfId="0" applyNumberFormat="1" applyFont="1"/>
    <xf numFmtId="0" fontId="23" fillId="0" borderId="0" xfId="0" applyFont="1" applyAlignment="1">
      <alignment horizontal="left" wrapText="1"/>
    </xf>
    <xf numFmtId="0" fontId="25" fillId="0" borderId="0" xfId="0" applyFont="1" applyAlignment="1">
      <alignment horizontal="right" wrapText="1"/>
    </xf>
    <xf numFmtId="0" fontId="21" fillId="0" borderId="0" xfId="0" applyFont="1" applyAlignment="1">
      <alignment horizontal="left" wrapText="1"/>
    </xf>
    <xf numFmtId="0" fontId="23" fillId="0" borderId="0" xfId="0" applyFont="1" applyAlignment="1">
      <alignment horizontal="right" wrapText="1"/>
    </xf>
    <xf numFmtId="0" fontId="21" fillId="0" borderId="0" xfId="0" applyFont="1"/>
    <xf numFmtId="0" fontId="28" fillId="0" borderId="0" xfId="2" applyFont="1" applyFill="1" applyAlignment="1">
      <alignment horizontal="right" wrapText="1"/>
    </xf>
    <xf numFmtId="0" fontId="29" fillId="0" borderId="0" xfId="2" applyFont="1" applyFill="1" applyAlignment="1">
      <alignment horizontal="right" wrapText="1"/>
    </xf>
    <xf numFmtId="0" fontId="28" fillId="0" borderId="0" xfId="2" applyFont="1" applyAlignment="1">
      <alignment horizontal="right" wrapText="1"/>
    </xf>
    <xf numFmtId="0" fontId="28" fillId="0" borderId="0" xfId="2" applyFont="1" applyAlignment="1">
      <alignment horizontal="right"/>
    </xf>
    <xf numFmtId="44" fontId="29" fillId="0" borderId="0" xfId="2" applyNumberFormat="1" applyFont="1"/>
    <xf numFmtId="0" fontId="29" fillId="0" borderId="0" xfId="2" applyFont="1" applyAlignment="1">
      <alignment horizontal="left"/>
    </xf>
    <xf numFmtId="44" fontId="24" fillId="0" borderId="0" xfId="0" applyNumberFormat="1" applyFont="1"/>
    <xf numFmtId="0" fontId="31" fillId="0" borderId="0" xfId="2" applyFont="1" applyAlignment="1">
      <alignment horizontal="left"/>
    </xf>
    <xf numFmtId="0" fontId="20" fillId="0" borderId="0" xfId="0" applyFont="1" applyAlignment="1">
      <alignment horizontal="right"/>
    </xf>
    <xf numFmtId="0" fontId="21" fillId="0" borderId="0" xfId="0" applyFont="1" applyAlignment="1">
      <alignment horizontal="right" wrapText="1"/>
    </xf>
    <xf numFmtId="0" fontId="24" fillId="0" borderId="2" xfId="0" applyFont="1" applyBorder="1" applyAlignment="1">
      <alignment horizontal="center" vertical="top"/>
    </xf>
    <xf numFmtId="0" fontId="32" fillId="0" borderId="0" xfId="0" applyFont="1"/>
    <xf numFmtId="44" fontId="32" fillId="0" borderId="0" xfId="0" applyNumberFormat="1" applyFont="1"/>
    <xf numFmtId="0" fontId="27" fillId="0" borderId="0" xfId="0" applyFont="1" applyAlignment="1">
      <alignment horizontal="right"/>
    </xf>
    <xf numFmtId="0" fontId="4" fillId="0" borderId="0" xfId="0" applyFont="1" applyAlignment="1">
      <alignment horizontal="left" vertical="center" wrapText="1"/>
    </xf>
    <xf numFmtId="0" fontId="5" fillId="0" borderId="0" xfId="0" applyFont="1" applyAlignment="1">
      <alignment horizontal="center"/>
    </xf>
    <xf numFmtId="0" fontId="4" fillId="0" borderId="0" xfId="0" applyFont="1" applyAlignment="1">
      <alignment horizontal="center"/>
    </xf>
  </cellXfs>
  <cellStyles count="3">
    <cellStyle name="Explanatory Text" xfId="2" builtinId="5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51ED0-50FA-41D1-9D44-665D9DA89386}">
  <dimension ref="A1:O144"/>
  <sheetViews>
    <sheetView tabSelected="1" topLeftCell="A110" workbookViewId="0">
      <selection activeCell="E110" sqref="E110"/>
    </sheetView>
  </sheetViews>
  <sheetFormatPr defaultColWidth="8.85546875" defaultRowHeight="16.5"/>
  <cols>
    <col min="1" max="1" width="12" style="1" customWidth="1"/>
    <col min="2" max="2" width="12.85546875" style="1" customWidth="1"/>
    <col min="3" max="3" width="12.5703125" style="1" customWidth="1"/>
    <col min="4" max="4" width="33.7109375" style="1" customWidth="1"/>
    <col min="5" max="5" width="21.42578125" style="1" customWidth="1"/>
    <col min="6" max="6" width="17.28515625" style="1" customWidth="1"/>
    <col min="7" max="7" width="15.42578125" style="1" customWidth="1"/>
    <col min="8" max="8" width="16.28515625" style="40" customWidth="1"/>
    <col min="9" max="9" width="14.7109375" style="40" customWidth="1"/>
    <col min="10" max="11" width="15" style="40" customWidth="1"/>
    <col min="12" max="12" width="15" style="1" customWidth="1"/>
    <col min="13" max="13" width="9.7109375" style="1" customWidth="1"/>
    <col min="14" max="16384" width="8.85546875" style="1"/>
  </cols>
  <sheetData>
    <row r="1" spans="1:13">
      <c r="B1" s="2"/>
      <c r="C1" s="2"/>
      <c r="D1" s="2"/>
      <c r="E1" s="3"/>
      <c r="F1" s="2"/>
      <c r="G1" s="3"/>
      <c r="H1" s="3"/>
      <c r="I1" s="3"/>
      <c r="J1" s="3"/>
      <c r="K1" s="3"/>
      <c r="L1" s="3"/>
      <c r="M1" s="4"/>
    </row>
    <row r="2" spans="1:13">
      <c r="B2" s="2"/>
      <c r="C2" s="2"/>
      <c r="D2" s="64" t="s">
        <v>0</v>
      </c>
      <c r="E2" s="64"/>
      <c r="F2" s="64"/>
      <c r="G2" s="64"/>
      <c r="H2" s="64"/>
      <c r="I2" s="6"/>
      <c r="J2" s="6"/>
      <c r="K2" s="6"/>
      <c r="L2" s="3"/>
      <c r="M2" s="4"/>
    </row>
    <row r="3" spans="1:13">
      <c r="B3" s="2"/>
      <c r="C3" s="2"/>
      <c r="D3" s="65" t="s">
        <v>1</v>
      </c>
      <c r="E3" s="65"/>
      <c r="F3" s="65"/>
      <c r="G3" s="65"/>
      <c r="H3" s="65"/>
      <c r="I3" s="65"/>
      <c r="J3" s="8"/>
      <c r="K3" s="8"/>
      <c r="L3" s="3"/>
      <c r="M3" s="4"/>
    </row>
    <row r="4" spans="1:13">
      <c r="B4" s="2"/>
      <c r="C4" s="2"/>
      <c r="D4" s="64" t="s">
        <v>2</v>
      </c>
      <c r="E4" s="64"/>
      <c r="F4" s="64"/>
      <c r="G4" s="64"/>
      <c r="H4" s="64"/>
      <c r="I4" s="64"/>
      <c r="J4" s="9"/>
      <c r="K4" s="9"/>
      <c r="L4" s="3"/>
      <c r="M4" s="4"/>
    </row>
    <row r="5" spans="1:13">
      <c r="B5" s="2"/>
      <c r="C5" s="2"/>
      <c r="D5" s="65" t="s">
        <v>3</v>
      </c>
      <c r="E5" s="65"/>
      <c r="F5" s="65"/>
      <c r="G5" s="65"/>
      <c r="H5" s="65"/>
      <c r="I5" s="65"/>
      <c r="J5" s="8"/>
      <c r="K5" s="8"/>
      <c r="L5" s="3"/>
      <c r="M5" s="4"/>
    </row>
    <row r="6" spans="1:13" ht="75">
      <c r="B6" s="10" t="s">
        <v>4</v>
      </c>
      <c r="C6" s="2"/>
      <c r="D6" s="11" t="s">
        <v>5</v>
      </c>
      <c r="E6" s="8" t="s">
        <v>6</v>
      </c>
      <c r="F6" s="11" t="s">
        <v>7</v>
      </c>
      <c r="G6" s="12" t="s">
        <v>8</v>
      </c>
      <c r="H6" s="12" t="s">
        <v>9</v>
      </c>
      <c r="I6" s="12" t="s">
        <v>10</v>
      </c>
      <c r="J6" s="12" t="s">
        <v>11</v>
      </c>
      <c r="K6" s="12" t="s">
        <v>12</v>
      </c>
      <c r="L6" s="12" t="s">
        <v>13</v>
      </c>
      <c r="M6" s="13" t="s">
        <v>14</v>
      </c>
    </row>
    <row r="7" spans="1:13">
      <c r="B7" s="2"/>
      <c r="C7" s="14" t="s">
        <v>15</v>
      </c>
      <c r="D7" s="10"/>
      <c r="E7" s="3"/>
      <c r="F7" s="2"/>
      <c r="G7" s="15"/>
      <c r="H7" s="3"/>
      <c r="I7" s="3"/>
      <c r="J7" s="3"/>
      <c r="K7" s="3"/>
      <c r="L7" s="3"/>
      <c r="M7" s="4"/>
    </row>
    <row r="8" spans="1:13">
      <c r="B8" s="2"/>
      <c r="C8" s="2"/>
      <c r="D8" s="2" t="s">
        <v>16</v>
      </c>
      <c r="E8" s="3" t="s">
        <v>17</v>
      </c>
      <c r="F8" s="10" t="s">
        <v>18</v>
      </c>
      <c r="G8" s="3"/>
      <c r="H8" s="3"/>
      <c r="I8" s="3"/>
      <c r="J8" s="3"/>
      <c r="K8" s="3"/>
      <c r="L8" s="3">
        <v>25200000</v>
      </c>
      <c r="M8" s="4">
        <v>1</v>
      </c>
    </row>
    <row r="9" spans="1:13">
      <c r="B9" s="2"/>
      <c r="C9" s="2"/>
      <c r="D9" s="16"/>
      <c r="E9" s="3">
        <v>25200000</v>
      </c>
      <c r="F9" s="17"/>
      <c r="G9" s="3"/>
      <c r="H9" s="3"/>
      <c r="I9" s="3"/>
      <c r="J9" s="3"/>
      <c r="K9" s="3"/>
      <c r="L9" s="3">
        <v>25200000</v>
      </c>
      <c r="M9" s="4">
        <v>1</v>
      </c>
    </row>
    <row r="10" spans="1:13">
      <c r="B10" s="2"/>
      <c r="C10" s="2"/>
      <c r="D10" s="2"/>
      <c r="E10" s="3"/>
      <c r="F10" s="17"/>
      <c r="G10" s="3"/>
      <c r="H10" s="3"/>
      <c r="I10" s="3"/>
      <c r="J10" s="3"/>
      <c r="K10" s="3"/>
      <c r="L10" s="3"/>
      <c r="M10" s="4"/>
    </row>
    <row r="11" spans="1:13">
      <c r="B11" s="2"/>
      <c r="C11" s="18" t="s">
        <v>19</v>
      </c>
      <c r="D11" s="10"/>
      <c r="E11" s="3"/>
      <c r="F11" s="17"/>
      <c r="G11" s="3"/>
      <c r="H11" s="3"/>
      <c r="I11" s="3"/>
      <c r="J11" s="3"/>
      <c r="K11" s="3"/>
      <c r="L11" s="3"/>
      <c r="M11" s="4"/>
    </row>
    <row r="12" spans="1:13">
      <c r="A12" s="1" t="s">
        <v>20</v>
      </c>
      <c r="B12" s="2">
        <v>6020</v>
      </c>
      <c r="C12" s="2"/>
      <c r="D12" s="2" t="s">
        <v>21</v>
      </c>
      <c r="E12" s="3"/>
      <c r="F12" s="17"/>
      <c r="G12" s="3"/>
      <c r="H12" s="3"/>
      <c r="I12" s="3"/>
      <c r="J12" s="3"/>
      <c r="K12" s="3"/>
      <c r="L12" s="3"/>
      <c r="M12" s="4"/>
    </row>
    <row r="13" spans="1:13" ht="129">
      <c r="B13" s="2"/>
      <c r="C13" s="2"/>
      <c r="D13" s="19" t="s">
        <v>22</v>
      </c>
      <c r="E13" s="20">
        <v>871182</v>
      </c>
      <c r="F13" s="17">
        <v>1</v>
      </c>
      <c r="G13" s="3">
        <v>51246</v>
      </c>
      <c r="H13" s="3">
        <v>204984</v>
      </c>
      <c r="I13" s="3">
        <v>204984</v>
      </c>
      <c r="J13" s="3">
        <v>204984</v>
      </c>
      <c r="K13" s="3">
        <v>204984</v>
      </c>
      <c r="L13" s="6">
        <f t="shared" ref="L13:L23" si="0">SUM(G13:K13)</f>
        <v>871182</v>
      </c>
      <c r="M13" s="4"/>
    </row>
    <row r="14" spans="1:13" ht="129">
      <c r="B14" s="2"/>
      <c r="C14" s="2"/>
      <c r="D14" s="21" t="s">
        <v>23</v>
      </c>
      <c r="E14" s="3">
        <v>707200</v>
      </c>
      <c r="F14" s="17">
        <v>1</v>
      </c>
      <c r="G14" s="3">
        <v>41600</v>
      </c>
      <c r="H14" s="3">
        <v>166400</v>
      </c>
      <c r="I14" s="3">
        <v>166400</v>
      </c>
      <c r="J14" s="3">
        <v>166400</v>
      </c>
      <c r="K14" s="3">
        <v>166400</v>
      </c>
      <c r="L14" s="6">
        <f>SUM(G14:K14)</f>
        <v>707200</v>
      </c>
      <c r="M14" s="4"/>
    </row>
    <row r="15" spans="1:13" ht="116.25">
      <c r="B15" s="2"/>
      <c r="C15" s="2"/>
      <c r="D15" s="22" t="s">
        <v>24</v>
      </c>
      <c r="E15" s="3">
        <v>530400</v>
      </c>
      <c r="F15" s="23">
        <v>1</v>
      </c>
      <c r="G15" s="3">
        <v>31200</v>
      </c>
      <c r="H15" s="3">
        <v>124800</v>
      </c>
      <c r="I15" s="3">
        <v>124800</v>
      </c>
      <c r="J15" s="3">
        <v>124800</v>
      </c>
      <c r="K15" s="3">
        <v>124800</v>
      </c>
      <c r="L15" s="6">
        <f t="shared" si="0"/>
        <v>530400</v>
      </c>
      <c r="M15" s="4"/>
    </row>
    <row r="16" spans="1:13" ht="108.75" customHeight="1">
      <c r="B16" s="2"/>
      <c r="C16" s="2"/>
      <c r="D16" s="22" t="s">
        <v>25</v>
      </c>
      <c r="E16" s="3">
        <v>530400</v>
      </c>
      <c r="F16" s="23">
        <v>1</v>
      </c>
      <c r="G16" s="3">
        <v>31200</v>
      </c>
      <c r="H16" s="3">
        <v>124800</v>
      </c>
      <c r="I16" s="3">
        <v>124800</v>
      </c>
      <c r="J16" s="3">
        <v>124800</v>
      </c>
      <c r="K16" s="3">
        <v>124800</v>
      </c>
      <c r="L16" s="6">
        <f t="shared" si="0"/>
        <v>530400</v>
      </c>
      <c r="M16" s="4"/>
    </row>
    <row r="17" spans="1:13" ht="108" customHeight="1">
      <c r="B17" s="2"/>
      <c r="C17" s="2"/>
      <c r="D17" s="22" t="s">
        <v>26</v>
      </c>
      <c r="E17" s="3">
        <v>530400</v>
      </c>
      <c r="F17" s="23">
        <v>1</v>
      </c>
      <c r="G17" s="3">
        <v>31200</v>
      </c>
      <c r="H17" s="3">
        <v>124800</v>
      </c>
      <c r="I17" s="3">
        <v>124800</v>
      </c>
      <c r="J17" s="3">
        <v>124800</v>
      </c>
      <c r="K17" s="3">
        <v>124800</v>
      </c>
      <c r="L17" s="6">
        <f t="shared" si="0"/>
        <v>530400</v>
      </c>
      <c r="M17" s="4"/>
    </row>
    <row r="18" spans="1:13" ht="132" customHeight="1">
      <c r="B18" s="2"/>
      <c r="C18" s="2"/>
      <c r="D18" s="22" t="s">
        <v>27</v>
      </c>
      <c r="E18" s="3">
        <v>637806</v>
      </c>
      <c r="F18" s="23">
        <v>1</v>
      </c>
      <c r="G18" s="3">
        <v>37518</v>
      </c>
      <c r="H18" s="3">
        <v>150072</v>
      </c>
      <c r="I18" s="3">
        <v>150072</v>
      </c>
      <c r="J18" s="3">
        <v>150072</v>
      </c>
      <c r="K18" s="3">
        <v>150072</v>
      </c>
      <c r="L18" s="6">
        <f>SUM(G18:K18)</f>
        <v>637806</v>
      </c>
      <c r="M18" s="4"/>
    </row>
    <row r="19" spans="1:13" ht="129">
      <c r="B19" s="2"/>
      <c r="C19" s="2"/>
      <c r="D19" s="22" t="s">
        <v>28</v>
      </c>
      <c r="E19" s="3">
        <v>119008.5</v>
      </c>
      <c r="F19" s="23">
        <v>1</v>
      </c>
      <c r="G19" s="3">
        <v>7000.5</v>
      </c>
      <c r="H19" s="3">
        <v>28002</v>
      </c>
      <c r="I19" s="3">
        <v>28002</v>
      </c>
      <c r="J19" s="3">
        <v>28002</v>
      </c>
      <c r="K19" s="3">
        <v>28002</v>
      </c>
      <c r="L19" s="6">
        <f t="shared" si="0"/>
        <v>119008.5</v>
      </c>
      <c r="M19" s="4"/>
    </row>
    <row r="20" spans="1:13" ht="129">
      <c r="B20" s="2"/>
      <c r="C20" s="2"/>
      <c r="D20" s="22" t="s">
        <v>29</v>
      </c>
      <c r="E20" s="3">
        <v>403767</v>
      </c>
      <c r="F20" s="23">
        <v>1</v>
      </c>
      <c r="G20" s="3">
        <v>23751</v>
      </c>
      <c r="H20" s="3">
        <v>95004</v>
      </c>
      <c r="I20" s="3">
        <v>95004</v>
      </c>
      <c r="J20" s="3">
        <v>95004</v>
      </c>
      <c r="K20" s="3">
        <v>95004</v>
      </c>
      <c r="L20" s="6">
        <f>SUM(G20:K20)</f>
        <v>403767</v>
      </c>
      <c r="M20" s="4"/>
    </row>
    <row r="21" spans="1:13" ht="141" customHeight="1">
      <c r="B21" s="2"/>
      <c r="C21" s="2"/>
      <c r="D21" s="22" t="s">
        <v>30</v>
      </c>
      <c r="E21" s="3">
        <v>330074.2</v>
      </c>
      <c r="F21" s="23">
        <v>1</v>
      </c>
      <c r="G21" s="3">
        <v>10002.200000000001</v>
      </c>
      <c r="H21" s="3">
        <v>80018</v>
      </c>
      <c r="I21" s="3">
        <v>80018</v>
      </c>
      <c r="J21" s="3">
        <v>80018</v>
      </c>
      <c r="K21" s="3">
        <v>80018</v>
      </c>
      <c r="L21" s="6">
        <f>SUM(G21:K21)</f>
        <v>330074.2</v>
      </c>
      <c r="M21" s="4"/>
    </row>
    <row r="22" spans="1:13" ht="140.44999999999999" customHeight="1">
      <c r="B22" s="2"/>
      <c r="C22" s="2"/>
      <c r="D22" s="22" t="s">
        <v>31</v>
      </c>
      <c r="E22" s="3">
        <v>530400</v>
      </c>
      <c r="F22" s="23">
        <v>1</v>
      </c>
      <c r="G22" s="3">
        <v>31200</v>
      </c>
      <c r="H22" s="3">
        <v>124800</v>
      </c>
      <c r="I22" s="3">
        <v>124800</v>
      </c>
      <c r="J22" s="3">
        <v>124800</v>
      </c>
      <c r="K22" s="3">
        <v>124800</v>
      </c>
      <c r="L22" s="6">
        <f>SUM(G22:K22)</f>
        <v>530400</v>
      </c>
      <c r="M22" s="4"/>
    </row>
    <row r="23" spans="1:13" ht="143.44999999999999" customHeight="1">
      <c r="B23" s="2"/>
      <c r="C23" s="2"/>
      <c r="D23" s="22" t="s">
        <v>32</v>
      </c>
      <c r="E23" s="3">
        <v>425027.19999999995</v>
      </c>
      <c r="F23" s="23">
        <v>1</v>
      </c>
      <c r="G23" s="3">
        <v>25001.599999999999</v>
      </c>
      <c r="H23" s="3">
        <v>100006.39999999999</v>
      </c>
      <c r="I23" s="3">
        <v>100006.39999999999</v>
      </c>
      <c r="J23" s="3">
        <v>100006.39999999999</v>
      </c>
      <c r="K23" s="3">
        <v>100006.39999999999</v>
      </c>
      <c r="L23" s="6">
        <f t="shared" si="0"/>
        <v>425027.19999999995</v>
      </c>
      <c r="M23" s="4"/>
    </row>
    <row r="24" spans="1:13" ht="103.5">
      <c r="B24" s="2"/>
      <c r="C24" s="2"/>
      <c r="D24" s="22" t="s">
        <v>33</v>
      </c>
      <c r="E24" s="3">
        <v>221000</v>
      </c>
      <c r="F24" s="23">
        <v>1</v>
      </c>
      <c r="G24" s="3">
        <v>13000</v>
      </c>
      <c r="H24" s="3">
        <v>52000</v>
      </c>
      <c r="I24" s="3">
        <v>52000</v>
      </c>
      <c r="J24" s="3">
        <v>52000</v>
      </c>
      <c r="K24" s="3">
        <v>52000</v>
      </c>
      <c r="L24" s="6">
        <f>SUM(G24:K24)</f>
        <v>221000</v>
      </c>
      <c r="M24" s="4"/>
    </row>
    <row r="25" spans="1:13" ht="27">
      <c r="B25" s="2"/>
      <c r="C25" s="2"/>
      <c r="D25" s="22" t="s">
        <v>34</v>
      </c>
      <c r="E25" s="24">
        <f>SUM(E13:E24)</f>
        <v>5836664.9000000004</v>
      </c>
      <c r="F25" s="25">
        <f t="shared" ref="E25:L25" si="1">SUM(F13:F24)</f>
        <v>12</v>
      </c>
      <c r="G25" s="6">
        <f t="shared" si="1"/>
        <v>333919.3</v>
      </c>
      <c r="H25" s="6">
        <f t="shared" si="1"/>
        <v>1375686.4</v>
      </c>
      <c r="I25" s="6">
        <f t="shared" si="1"/>
        <v>1375686.4</v>
      </c>
      <c r="J25" s="6">
        <f t="shared" si="1"/>
        <v>1375686.4</v>
      </c>
      <c r="K25" s="6">
        <f t="shared" si="1"/>
        <v>1375686.4</v>
      </c>
      <c r="L25" s="6">
        <f t="shared" si="1"/>
        <v>5836664.9000000004</v>
      </c>
      <c r="M25" s="4"/>
    </row>
    <row r="26" spans="1:13">
      <c r="A26" s="1" t="s">
        <v>35</v>
      </c>
      <c r="B26" s="2">
        <v>6030</v>
      </c>
      <c r="C26" s="2"/>
      <c r="D26" s="2" t="s">
        <v>36</v>
      </c>
      <c r="E26" s="6"/>
      <c r="F26" s="18"/>
      <c r="G26" s="3"/>
      <c r="H26" s="3"/>
      <c r="I26" s="3"/>
      <c r="J26" s="3"/>
      <c r="K26" s="3"/>
      <c r="L26" s="3"/>
      <c r="M26" s="4"/>
    </row>
    <row r="27" spans="1:13">
      <c r="B27" s="2"/>
      <c r="C27" s="2"/>
      <c r="D27" s="59" t="s">
        <v>37</v>
      </c>
      <c r="E27" s="59"/>
      <c r="F27" s="59" t="s">
        <v>38</v>
      </c>
      <c r="G27" s="55" t="s">
        <v>39</v>
      </c>
      <c r="H27" s="26"/>
      <c r="I27" s="26"/>
      <c r="J27" s="26"/>
      <c r="K27" s="26"/>
      <c r="L27" s="27"/>
      <c r="M27" s="4"/>
    </row>
    <row r="28" spans="1:13">
      <c r="B28" s="2"/>
      <c r="C28" s="2"/>
      <c r="D28" s="42" t="s">
        <v>40</v>
      </c>
      <c r="E28" s="42"/>
      <c r="F28" s="43">
        <v>437400.71</v>
      </c>
      <c r="G28" s="43" t="s">
        <v>41</v>
      </c>
      <c r="H28" s="26"/>
      <c r="I28" s="26"/>
      <c r="J28" s="26"/>
      <c r="K28" s="26"/>
      <c r="L28" s="6"/>
      <c r="M28" s="4"/>
    </row>
    <row r="29" spans="1:13">
      <c r="B29" s="2"/>
      <c r="C29" s="2"/>
      <c r="D29" s="42" t="s">
        <v>42</v>
      </c>
      <c r="E29" s="42"/>
      <c r="F29" s="43">
        <v>114353.13</v>
      </c>
      <c r="G29" s="43" t="s">
        <v>43</v>
      </c>
      <c r="H29" s="26"/>
      <c r="I29" s="26"/>
      <c r="J29" s="26"/>
      <c r="K29" s="26"/>
      <c r="L29" s="6"/>
      <c r="M29" s="4"/>
    </row>
    <row r="30" spans="1:13">
      <c r="B30" s="2"/>
      <c r="C30" s="2"/>
      <c r="D30" s="42" t="s">
        <v>44</v>
      </c>
      <c r="E30" s="42"/>
      <c r="F30" s="43">
        <v>2310</v>
      </c>
      <c r="G30" s="43" t="s">
        <v>45</v>
      </c>
      <c r="H30" s="26"/>
      <c r="I30" s="26"/>
      <c r="J30" s="26"/>
      <c r="K30" s="26"/>
      <c r="L30" s="27"/>
      <c r="M30" s="4"/>
    </row>
    <row r="31" spans="1:13">
      <c r="B31" s="2"/>
      <c r="C31" s="2"/>
      <c r="D31" s="42" t="s">
        <v>46</v>
      </c>
      <c r="E31" s="42"/>
      <c r="F31" s="43">
        <v>24832.5</v>
      </c>
      <c r="G31" s="43" t="s">
        <v>47</v>
      </c>
      <c r="H31" s="26"/>
      <c r="I31" s="26"/>
      <c r="J31" s="26"/>
      <c r="K31" s="26"/>
      <c r="L31" s="27"/>
      <c r="M31" s="4"/>
    </row>
    <row r="32" spans="1:13">
      <c r="B32" s="2"/>
      <c r="C32" s="2"/>
      <c r="D32" s="42" t="s">
        <v>48</v>
      </c>
      <c r="E32" s="42"/>
      <c r="F32" s="43">
        <v>171529.69</v>
      </c>
      <c r="G32" s="43" t="s">
        <v>49</v>
      </c>
      <c r="H32" s="26"/>
      <c r="I32" s="26"/>
      <c r="J32" s="26"/>
      <c r="K32" s="26"/>
      <c r="L32" s="27"/>
      <c r="M32" s="4"/>
    </row>
    <row r="33" spans="1:15">
      <c r="B33" s="2"/>
      <c r="C33" s="2"/>
      <c r="D33" s="42" t="s">
        <v>50</v>
      </c>
      <c r="E33" s="42"/>
      <c r="F33" s="43">
        <v>1060180</v>
      </c>
      <c r="G33" s="43" t="s">
        <v>51</v>
      </c>
      <c r="H33" s="26"/>
      <c r="I33" s="26"/>
      <c r="J33" s="26"/>
      <c r="K33" s="26"/>
      <c r="L33" s="27"/>
      <c r="M33" s="4"/>
    </row>
    <row r="34" spans="1:15">
      <c r="B34" s="2"/>
      <c r="C34" s="2"/>
      <c r="D34" s="42" t="s">
        <v>52</v>
      </c>
      <c r="E34" s="42"/>
      <c r="F34" s="43">
        <v>16500</v>
      </c>
      <c r="G34" s="43" t="s">
        <v>53</v>
      </c>
      <c r="H34" s="26"/>
      <c r="I34" s="26"/>
      <c r="J34" s="26"/>
      <c r="K34" s="26"/>
      <c r="L34" s="27"/>
      <c r="M34" s="4"/>
    </row>
    <row r="35" spans="1:15" ht="17.25">
      <c r="B35" s="2"/>
      <c r="C35" s="2"/>
      <c r="D35" s="42" t="s">
        <v>54</v>
      </c>
      <c r="E35" s="42"/>
      <c r="F35" s="43">
        <v>4950</v>
      </c>
      <c r="G35" s="43" t="s">
        <v>55</v>
      </c>
      <c r="H35" s="28"/>
      <c r="I35" s="28"/>
      <c r="J35" s="28"/>
      <c r="K35" s="28"/>
      <c r="L35" s="28"/>
      <c r="M35" s="4"/>
    </row>
    <row r="36" spans="1:15" ht="17.25" customHeight="1">
      <c r="B36" s="2"/>
      <c r="C36" s="2"/>
      <c r="D36" s="42" t="s">
        <v>56</v>
      </c>
      <c r="E36" s="42"/>
      <c r="F36" s="43">
        <v>5717656.4000000004</v>
      </c>
      <c r="G36" s="28"/>
      <c r="H36" s="3"/>
      <c r="I36" s="3"/>
      <c r="J36" s="3"/>
      <c r="K36" s="3"/>
      <c r="L36" s="6"/>
      <c r="M36" s="4"/>
    </row>
    <row r="37" spans="1:15" ht="18.75" customHeight="1">
      <c r="B37" s="2"/>
      <c r="C37" s="2"/>
      <c r="D37" s="42" t="s">
        <v>57</v>
      </c>
      <c r="E37" s="42"/>
      <c r="F37" s="43">
        <v>1832056.03</v>
      </c>
      <c r="G37" s="3"/>
      <c r="H37" s="3"/>
      <c r="I37" s="3"/>
      <c r="J37" s="3"/>
      <c r="K37" s="3"/>
      <c r="L37" s="6"/>
      <c r="M37" s="4"/>
    </row>
    <row r="38" spans="1:15" ht="79.150000000000006" customHeight="1">
      <c r="B38" s="2"/>
      <c r="C38" s="2"/>
      <c r="D38" s="42" t="s">
        <v>58</v>
      </c>
      <c r="E38" s="60"/>
      <c r="F38" s="61">
        <v>7549712.4299999997</v>
      </c>
      <c r="G38" s="3"/>
      <c r="H38" s="3"/>
      <c r="I38" s="3"/>
      <c r="J38" s="3"/>
      <c r="K38" s="3"/>
      <c r="L38" s="6"/>
      <c r="M38" s="4"/>
    </row>
    <row r="39" spans="1:15" ht="111.6" customHeight="1">
      <c r="B39" s="2"/>
      <c r="C39" s="2"/>
      <c r="D39" s="63" t="s">
        <v>59</v>
      </c>
      <c r="E39" s="63"/>
      <c r="F39" s="63"/>
      <c r="G39" s="3"/>
      <c r="H39" s="3"/>
      <c r="I39" s="3"/>
      <c r="J39" s="3"/>
      <c r="K39" s="3"/>
      <c r="L39" s="6"/>
      <c r="M39" s="4"/>
    </row>
    <row r="40" spans="1:15" ht="122.45" customHeight="1">
      <c r="B40" s="2"/>
      <c r="C40" s="2"/>
      <c r="D40" s="63" t="s">
        <v>60</v>
      </c>
      <c r="E40" s="63"/>
      <c r="F40" s="63"/>
      <c r="G40" s="3"/>
      <c r="H40" s="3"/>
      <c r="I40" s="3"/>
      <c r="J40" s="3"/>
      <c r="K40" s="3"/>
      <c r="L40" s="6"/>
      <c r="M40" s="4"/>
    </row>
    <row r="41" spans="1:15" ht="79.150000000000006" customHeight="1">
      <c r="A41" s="2" t="s">
        <v>61</v>
      </c>
      <c r="B41" s="2" t="s">
        <v>62</v>
      </c>
      <c r="C41" s="2" t="s">
        <v>63</v>
      </c>
      <c r="D41" s="16" t="s">
        <v>64</v>
      </c>
      <c r="E41" s="30"/>
      <c r="F41" s="30"/>
      <c r="G41" s="3"/>
      <c r="H41" s="30"/>
      <c r="I41" s="30"/>
      <c r="J41" s="3"/>
      <c r="K41" s="3"/>
      <c r="L41" s="3"/>
      <c r="M41" s="3"/>
      <c r="N41" s="6"/>
      <c r="O41" s="4"/>
    </row>
    <row r="42" spans="1:15" ht="74.45" customHeight="1">
      <c r="B42" s="2" t="s">
        <v>65</v>
      </c>
      <c r="C42" s="2" t="s">
        <v>66</v>
      </c>
      <c r="D42" s="31" t="s">
        <v>67</v>
      </c>
      <c r="E42" s="29"/>
      <c r="F42" s="29"/>
      <c r="G42" s="30"/>
      <c r="H42" s="3"/>
      <c r="I42" s="3"/>
      <c r="J42" s="3"/>
      <c r="K42" s="3"/>
      <c r="L42" s="6"/>
      <c r="M42" s="4"/>
    </row>
    <row r="43" spans="1:15" ht="75.599999999999994" customHeight="1">
      <c r="B43" s="2" t="s">
        <v>68</v>
      </c>
      <c r="C43" s="2" t="s">
        <v>69</v>
      </c>
      <c r="D43" s="31" t="s">
        <v>70</v>
      </c>
      <c r="E43" s="29"/>
      <c r="F43" s="29"/>
      <c r="G43" s="3"/>
      <c r="H43" s="3"/>
      <c r="I43" s="3"/>
      <c r="J43" s="3"/>
      <c r="K43" s="3"/>
      <c r="L43" s="6"/>
      <c r="M43" s="4"/>
    </row>
    <row r="44" spans="1:15" ht="94.9" customHeight="1">
      <c r="B44" s="2" t="s">
        <v>71</v>
      </c>
      <c r="C44" s="2" t="s">
        <v>72</v>
      </c>
      <c r="D44" s="31" t="s">
        <v>73</v>
      </c>
      <c r="E44" s="29"/>
      <c r="F44" s="29"/>
      <c r="G44" s="3"/>
      <c r="H44" s="3"/>
      <c r="I44" s="3"/>
      <c r="J44" s="3"/>
      <c r="K44" s="3"/>
      <c r="L44" s="6"/>
      <c r="M44" s="4"/>
    </row>
    <row r="45" spans="1:15" ht="181.9" customHeight="1">
      <c r="B45" s="2" t="s">
        <v>74</v>
      </c>
      <c r="C45" s="2" t="s">
        <v>75</v>
      </c>
      <c r="D45" s="31" t="s">
        <v>76</v>
      </c>
      <c r="E45" s="29"/>
      <c r="F45" s="29"/>
      <c r="G45" s="3"/>
      <c r="H45" s="3"/>
      <c r="I45" s="3"/>
      <c r="J45" s="3"/>
      <c r="K45" s="3"/>
      <c r="L45" s="6"/>
      <c r="M45" s="4"/>
    </row>
    <row r="46" spans="1:15" ht="114.6" customHeight="1">
      <c r="B46" s="16" t="s">
        <v>77</v>
      </c>
      <c r="C46" s="2" t="s">
        <v>78</v>
      </c>
      <c r="D46" s="31" t="s">
        <v>79</v>
      </c>
      <c r="E46" s="5"/>
      <c r="F46" s="5"/>
      <c r="G46" s="3"/>
      <c r="H46" s="3"/>
      <c r="I46" s="3"/>
      <c r="J46" s="3"/>
      <c r="K46" s="3"/>
      <c r="L46" s="6"/>
      <c r="M46" s="4"/>
    </row>
    <row r="47" spans="1:15" ht="75" customHeight="1">
      <c r="B47" s="16" t="s">
        <v>80</v>
      </c>
      <c r="C47" s="2" t="s">
        <v>81</v>
      </c>
      <c r="D47" s="31" t="s">
        <v>82</v>
      </c>
      <c r="E47" s="5"/>
      <c r="F47" s="5"/>
      <c r="G47" s="3"/>
      <c r="H47" s="3"/>
      <c r="I47" s="3"/>
      <c r="J47" s="3"/>
      <c r="K47" s="3"/>
      <c r="L47" s="6"/>
      <c r="M47" s="4"/>
    </row>
    <row r="48" spans="1:15" ht="149.25" customHeight="1">
      <c r="B48" s="2" t="s">
        <v>83</v>
      </c>
      <c r="C48" s="2" t="s">
        <v>84</v>
      </c>
      <c r="D48" s="31" t="s">
        <v>85</v>
      </c>
      <c r="E48" s="5"/>
      <c r="F48" s="5"/>
      <c r="G48" s="3"/>
      <c r="H48" s="3"/>
      <c r="I48" s="3"/>
      <c r="J48" s="3"/>
      <c r="K48" s="3"/>
      <c r="L48" s="6"/>
      <c r="M48" s="4"/>
    </row>
    <row r="49" spans="1:13" ht="106.9" customHeight="1">
      <c r="B49" s="16" t="s">
        <v>86</v>
      </c>
      <c r="C49" s="2" t="s">
        <v>78</v>
      </c>
      <c r="D49" s="31" t="s">
        <v>87</v>
      </c>
      <c r="E49" s="5"/>
      <c r="F49" s="5"/>
      <c r="G49" s="3"/>
      <c r="H49" s="3"/>
      <c r="I49" s="3"/>
      <c r="J49" s="3"/>
      <c r="K49" s="3"/>
      <c r="L49" s="6"/>
      <c r="M49" s="4"/>
    </row>
    <row r="50" spans="1:13" ht="27">
      <c r="B50" s="16" t="s">
        <v>88</v>
      </c>
      <c r="C50" s="2" t="s">
        <v>78</v>
      </c>
      <c r="D50" s="31" t="s">
        <v>89</v>
      </c>
      <c r="E50" s="5"/>
      <c r="F50" s="5"/>
      <c r="G50" s="3"/>
      <c r="H50" s="3"/>
      <c r="I50" s="3"/>
      <c r="J50" s="3"/>
      <c r="K50" s="3"/>
      <c r="L50" s="6"/>
      <c r="M50" s="4"/>
    </row>
    <row r="51" spans="1:13">
      <c r="B51" s="2"/>
      <c r="C51" s="2"/>
      <c r="D51" s="7"/>
      <c r="E51" s="5"/>
      <c r="F51" s="5"/>
      <c r="G51" s="3"/>
      <c r="H51" s="3"/>
      <c r="I51" s="3"/>
      <c r="J51" s="3"/>
      <c r="K51" s="3"/>
      <c r="L51" s="6"/>
      <c r="M51" s="4"/>
    </row>
    <row r="52" spans="1:13">
      <c r="A52" s="1" t="s">
        <v>90</v>
      </c>
      <c r="B52" s="2"/>
      <c r="C52" s="14"/>
      <c r="D52" s="2"/>
      <c r="E52" s="3"/>
      <c r="F52" s="2"/>
      <c r="G52" s="3"/>
      <c r="H52" s="3"/>
      <c r="I52" s="3"/>
      <c r="J52" s="3"/>
      <c r="K52" s="3"/>
      <c r="L52" s="3"/>
      <c r="M52" s="4"/>
    </row>
    <row r="53" spans="1:13">
      <c r="B53" s="2"/>
      <c r="C53" s="14"/>
      <c r="D53" s="42" t="s">
        <v>91</v>
      </c>
      <c r="E53" s="43">
        <v>25000</v>
      </c>
      <c r="F53" s="42"/>
      <c r="G53" s="3"/>
      <c r="H53" s="3"/>
      <c r="I53" s="3"/>
      <c r="J53" s="3"/>
      <c r="K53" s="3"/>
      <c r="L53" s="3"/>
      <c r="M53" s="4"/>
    </row>
    <row r="54" spans="1:13">
      <c r="B54" s="2"/>
      <c r="C54" s="14"/>
      <c r="D54" s="42" t="s">
        <v>92</v>
      </c>
      <c r="E54" s="43"/>
      <c r="F54" s="42"/>
      <c r="G54" s="3"/>
      <c r="H54" s="3"/>
      <c r="I54" s="3"/>
      <c r="J54" s="3"/>
      <c r="K54" s="3"/>
      <c r="L54" s="3"/>
      <c r="M54" s="4"/>
    </row>
    <row r="55" spans="1:13" ht="39.75">
      <c r="B55" s="2"/>
      <c r="C55" s="14"/>
      <c r="D55" s="44" t="s">
        <v>93</v>
      </c>
      <c r="E55" s="43">
        <v>20700</v>
      </c>
      <c r="F55" s="42"/>
      <c r="G55" s="3"/>
      <c r="H55" s="3"/>
      <c r="I55" s="3"/>
      <c r="J55" s="3"/>
      <c r="K55" s="3"/>
      <c r="L55" s="3"/>
      <c r="M55" s="4"/>
    </row>
    <row r="56" spans="1:13" ht="183">
      <c r="B56" s="2"/>
      <c r="C56" s="14"/>
      <c r="D56" s="45" t="s">
        <v>94</v>
      </c>
      <c r="E56" s="43"/>
      <c r="F56" s="42"/>
      <c r="G56" s="3"/>
      <c r="H56" s="3"/>
      <c r="I56" s="3"/>
      <c r="J56" s="3"/>
      <c r="K56" s="3"/>
      <c r="L56" s="3"/>
      <c r="M56" s="4"/>
    </row>
    <row r="57" spans="1:13" ht="45.75">
      <c r="B57" s="2"/>
      <c r="C57" s="10"/>
      <c r="D57" s="46" t="s">
        <v>95</v>
      </c>
      <c r="E57" s="43"/>
      <c r="F57" s="42"/>
      <c r="G57" s="3"/>
      <c r="H57" s="3"/>
      <c r="I57" s="3"/>
      <c r="J57" s="3"/>
      <c r="K57" s="3"/>
      <c r="L57" s="3"/>
      <c r="M57" s="4"/>
    </row>
    <row r="58" spans="1:13" ht="246" customHeight="1">
      <c r="B58" s="2"/>
      <c r="C58" s="10"/>
      <c r="D58" s="47" t="s">
        <v>96</v>
      </c>
      <c r="E58" s="43"/>
      <c r="F58" s="42"/>
      <c r="G58" s="3"/>
      <c r="H58" s="3"/>
      <c r="I58" s="3"/>
      <c r="J58" s="3"/>
      <c r="K58" s="3"/>
      <c r="L58" s="3"/>
      <c r="M58" s="4"/>
    </row>
    <row r="59" spans="1:13" ht="39.75">
      <c r="B59" s="2"/>
      <c r="C59" s="10"/>
      <c r="D59" s="44" t="s">
        <v>97</v>
      </c>
      <c r="E59" s="43"/>
      <c r="F59" s="42"/>
      <c r="G59" s="3"/>
      <c r="H59" s="3"/>
      <c r="I59" s="3"/>
      <c r="J59" s="3"/>
      <c r="K59" s="3"/>
      <c r="L59" s="3"/>
      <c r="M59" s="4"/>
    </row>
    <row r="60" spans="1:13" ht="141.75">
      <c r="B60" s="2"/>
      <c r="D60" s="45" t="s">
        <v>98</v>
      </c>
      <c r="E60" s="43">
        <v>11710</v>
      </c>
      <c r="F60" s="42"/>
      <c r="G60" s="3"/>
      <c r="H60" s="3"/>
      <c r="I60" s="3"/>
      <c r="J60" s="3"/>
      <c r="K60" s="3"/>
      <c r="L60" s="6"/>
      <c r="M60" s="4"/>
    </row>
    <row r="61" spans="1:13" ht="47.45" customHeight="1">
      <c r="B61" s="2"/>
      <c r="C61" s="2"/>
      <c r="D61" s="58" t="s">
        <v>99</v>
      </c>
      <c r="E61" s="43"/>
      <c r="F61" s="42"/>
      <c r="G61" s="3"/>
      <c r="H61" s="3"/>
      <c r="I61" s="3"/>
      <c r="J61" s="3"/>
      <c r="K61" s="3"/>
      <c r="L61" s="6"/>
      <c r="M61" s="4"/>
    </row>
    <row r="62" spans="1:13" ht="154.5" customHeight="1">
      <c r="B62" s="2"/>
      <c r="C62" s="2"/>
      <c r="D62" s="45" t="s">
        <v>100</v>
      </c>
      <c r="E62" s="43">
        <v>196400</v>
      </c>
      <c r="F62" s="42"/>
      <c r="G62" s="3"/>
      <c r="H62" s="3"/>
      <c r="I62" s="3"/>
      <c r="J62" s="3"/>
      <c r="K62" s="3"/>
      <c r="L62" s="6"/>
      <c r="M62" s="4"/>
    </row>
    <row r="63" spans="1:13" ht="32.25" customHeight="1">
      <c r="B63" s="2"/>
      <c r="C63" s="2"/>
      <c r="D63" s="46" t="s">
        <v>101</v>
      </c>
      <c r="E63" s="43"/>
      <c r="F63" s="42"/>
      <c r="G63" s="3"/>
      <c r="H63" s="3"/>
      <c r="I63" s="3"/>
      <c r="J63" s="3"/>
      <c r="K63" s="3"/>
      <c r="L63" s="6"/>
      <c r="M63" s="4"/>
    </row>
    <row r="64" spans="1:13" ht="44.45" customHeight="1">
      <c r="B64" s="2"/>
      <c r="C64" s="32"/>
      <c r="D64" s="45" t="s">
        <v>102</v>
      </c>
      <c r="E64" s="43">
        <v>33600</v>
      </c>
      <c r="F64" s="42"/>
      <c r="G64" s="3"/>
      <c r="H64" s="3"/>
      <c r="I64" s="3"/>
      <c r="J64" s="3"/>
      <c r="K64" s="3"/>
      <c r="L64" s="6"/>
      <c r="M64" s="4"/>
    </row>
    <row r="65" spans="1:13" ht="21.75" customHeight="1">
      <c r="B65" s="2"/>
      <c r="C65" s="2"/>
      <c r="D65" s="48" t="s">
        <v>103</v>
      </c>
      <c r="E65" s="43"/>
      <c r="F65" s="42"/>
      <c r="G65" s="3"/>
      <c r="H65" s="3"/>
      <c r="I65" s="3"/>
      <c r="J65" s="3"/>
      <c r="K65" s="3"/>
      <c r="L65" s="6"/>
      <c r="M65" s="4"/>
    </row>
    <row r="66" spans="1:13" ht="53.25" customHeight="1">
      <c r="B66" s="2"/>
      <c r="C66" s="2"/>
      <c r="D66" s="49" t="s">
        <v>104</v>
      </c>
      <c r="E66" s="43">
        <v>139320</v>
      </c>
      <c r="F66" s="42"/>
      <c r="G66" s="3"/>
      <c r="H66" s="3"/>
      <c r="I66" s="3"/>
      <c r="J66" s="3"/>
      <c r="K66" s="3"/>
      <c r="L66" s="6"/>
      <c r="M66" s="4"/>
    </row>
    <row r="67" spans="1:13">
      <c r="B67" s="2"/>
      <c r="C67" s="2"/>
      <c r="D67" s="50" t="s">
        <v>105</v>
      </c>
      <c r="E67" s="43"/>
      <c r="F67" s="42"/>
      <c r="G67" s="3"/>
      <c r="H67" s="3"/>
      <c r="I67" s="3"/>
      <c r="J67" s="3"/>
      <c r="K67" s="3"/>
      <c r="L67" s="6"/>
      <c r="M67" s="4"/>
    </row>
    <row r="68" spans="1:13" ht="65.25">
      <c r="B68" s="2"/>
      <c r="C68" s="2"/>
      <c r="D68" s="41" t="s">
        <v>106</v>
      </c>
      <c r="E68" s="43">
        <v>125000</v>
      </c>
      <c r="F68" s="42"/>
      <c r="G68" s="3"/>
      <c r="H68" s="3"/>
      <c r="I68" s="3"/>
      <c r="J68" s="3"/>
      <c r="K68" s="3"/>
      <c r="L68" s="6"/>
      <c r="M68" s="4"/>
    </row>
    <row r="69" spans="1:13">
      <c r="A69" s="1" t="s">
        <v>107</v>
      </c>
      <c r="B69" s="2">
        <v>6237</v>
      </c>
      <c r="C69" s="2"/>
      <c r="D69" s="48" t="s">
        <v>108</v>
      </c>
      <c r="E69" s="43">
        <v>39000</v>
      </c>
      <c r="F69" s="42"/>
      <c r="G69" s="3"/>
      <c r="H69" s="3"/>
      <c r="I69" s="3"/>
      <c r="J69" s="3"/>
      <c r="K69" s="3"/>
      <c r="L69" s="6"/>
      <c r="M69" s="4"/>
    </row>
    <row r="70" spans="1:13" ht="65.25">
      <c r="B70" s="2">
        <v>5020</v>
      </c>
      <c r="C70" s="2"/>
      <c r="D70" s="45" t="s">
        <v>109</v>
      </c>
      <c r="E70" s="43"/>
      <c r="F70" s="42"/>
      <c r="G70" s="3"/>
      <c r="H70" s="3"/>
      <c r="I70" s="3"/>
      <c r="J70" s="3"/>
      <c r="K70" s="3"/>
      <c r="L70" s="6"/>
      <c r="M70" s="4"/>
    </row>
    <row r="71" spans="1:13" ht="30.75">
      <c r="B71" s="2"/>
      <c r="C71" s="2"/>
      <c r="D71" s="46" t="s">
        <v>110</v>
      </c>
      <c r="E71" s="43">
        <v>500000</v>
      </c>
      <c r="F71" s="42"/>
      <c r="G71" s="3"/>
      <c r="H71" s="3"/>
      <c r="I71" s="3"/>
      <c r="J71" s="3"/>
      <c r="K71" s="3"/>
      <c r="L71" s="6"/>
      <c r="M71" s="4"/>
    </row>
    <row r="72" spans="1:13" ht="52.5">
      <c r="B72" s="2">
        <v>62506</v>
      </c>
      <c r="C72" s="2"/>
      <c r="D72" s="51" t="s">
        <v>111</v>
      </c>
      <c r="E72" s="43"/>
      <c r="F72" s="42"/>
      <c r="G72" s="3"/>
      <c r="H72" s="3"/>
      <c r="I72" s="3"/>
      <c r="J72" s="3"/>
      <c r="K72" s="3"/>
      <c r="L72" s="6"/>
      <c r="M72" s="4"/>
    </row>
    <row r="73" spans="1:13">
      <c r="B73" s="2"/>
      <c r="C73" s="2"/>
      <c r="D73" s="52" t="s">
        <v>112</v>
      </c>
      <c r="E73" s="43">
        <v>39000</v>
      </c>
      <c r="F73" s="42"/>
      <c r="G73" s="3"/>
      <c r="H73" s="3"/>
      <c r="I73" s="3"/>
      <c r="J73" s="3"/>
      <c r="K73" s="3"/>
      <c r="L73" s="6"/>
      <c r="M73" s="4"/>
    </row>
    <row r="74" spans="1:13">
      <c r="A74" s="1" t="s">
        <v>113</v>
      </c>
      <c r="B74" s="2">
        <v>6300</v>
      </c>
      <c r="C74" s="2"/>
      <c r="D74" s="52" t="s">
        <v>114</v>
      </c>
      <c r="E74" s="43"/>
      <c r="F74" s="42"/>
      <c r="G74" s="3"/>
      <c r="H74" s="3"/>
      <c r="I74" s="3"/>
      <c r="J74" s="3"/>
      <c r="K74" s="3"/>
      <c r="L74" s="6"/>
      <c r="M74" s="4"/>
    </row>
    <row r="75" spans="1:13">
      <c r="B75" s="2"/>
      <c r="C75" s="2"/>
      <c r="D75" s="52" t="s">
        <v>115</v>
      </c>
      <c r="E75" s="43"/>
      <c r="F75" s="42"/>
      <c r="G75" s="3"/>
      <c r="H75" s="3"/>
      <c r="I75" s="3"/>
      <c r="J75" s="3"/>
      <c r="K75" s="3"/>
      <c r="L75" s="6"/>
      <c r="M75" s="4"/>
    </row>
    <row r="76" spans="1:13" ht="27">
      <c r="A76" s="1" t="s">
        <v>116</v>
      </c>
      <c r="B76" s="2">
        <v>6315</v>
      </c>
      <c r="C76" s="2"/>
      <c r="D76" s="51" t="s">
        <v>117</v>
      </c>
      <c r="E76" s="53">
        <v>30000</v>
      </c>
      <c r="F76" s="42"/>
      <c r="G76" s="3"/>
      <c r="H76" s="3"/>
      <c r="I76" s="3"/>
      <c r="J76" s="3"/>
      <c r="K76" s="3"/>
      <c r="L76" s="6"/>
      <c r="M76" s="4"/>
    </row>
    <row r="77" spans="1:13" ht="52.5">
      <c r="B77" s="2"/>
      <c r="C77" s="2"/>
      <c r="D77" s="51" t="s">
        <v>118</v>
      </c>
      <c r="E77" s="53">
        <v>360</v>
      </c>
      <c r="F77" s="42">
        <v>19</v>
      </c>
      <c r="G77" s="3"/>
      <c r="H77" s="3"/>
      <c r="I77" s="3"/>
      <c r="J77" s="3"/>
      <c r="K77" s="3"/>
      <c r="L77" s="6"/>
      <c r="M77" s="4"/>
    </row>
    <row r="78" spans="1:13" ht="39.75">
      <c r="B78" s="2"/>
      <c r="C78" s="2"/>
      <c r="D78" s="51" t="s">
        <v>119</v>
      </c>
      <c r="E78" s="53">
        <v>324</v>
      </c>
      <c r="F78" s="42">
        <v>1</v>
      </c>
      <c r="G78" s="3"/>
      <c r="H78" s="3"/>
      <c r="I78" s="3"/>
      <c r="J78" s="3"/>
      <c r="K78" s="3"/>
      <c r="L78" s="6"/>
      <c r="M78" s="4"/>
    </row>
    <row r="79" spans="1:13">
      <c r="B79" s="2"/>
      <c r="C79" s="2"/>
      <c r="D79" s="54" t="s">
        <v>120</v>
      </c>
      <c r="E79" s="53">
        <v>1900</v>
      </c>
      <c r="F79" s="42">
        <v>1</v>
      </c>
      <c r="G79" s="3"/>
      <c r="H79" s="3"/>
      <c r="I79" s="3"/>
      <c r="J79" s="3"/>
      <c r="K79" s="3"/>
      <c r="L79" s="6"/>
      <c r="M79" s="4"/>
    </row>
    <row r="80" spans="1:13" ht="65.25">
      <c r="B80" s="2"/>
      <c r="C80" s="2"/>
      <c r="D80" s="51" t="s">
        <v>121</v>
      </c>
      <c r="E80" s="53">
        <v>6000</v>
      </c>
      <c r="F80" s="42"/>
      <c r="G80" s="3"/>
      <c r="H80" s="3"/>
      <c r="I80" s="3"/>
      <c r="J80" s="3"/>
      <c r="K80" s="3"/>
      <c r="L80" s="6"/>
      <c r="M80" s="4"/>
    </row>
    <row r="81" spans="1:13" ht="65.25">
      <c r="B81" s="2"/>
      <c r="C81" s="2"/>
      <c r="D81" s="51" t="s">
        <v>122</v>
      </c>
      <c r="E81" s="53">
        <v>4800</v>
      </c>
      <c r="F81" s="42"/>
      <c r="G81" s="3"/>
      <c r="H81" s="3"/>
      <c r="I81" s="3"/>
      <c r="J81" s="3"/>
      <c r="K81" s="3"/>
      <c r="L81" s="6"/>
      <c r="M81" s="4"/>
    </row>
    <row r="82" spans="1:13" ht="27">
      <c r="B82" s="2"/>
      <c r="C82" s="2"/>
      <c r="D82" s="51" t="s">
        <v>123</v>
      </c>
      <c r="E82" s="53">
        <v>420</v>
      </c>
      <c r="F82" s="42"/>
      <c r="G82" s="3"/>
      <c r="H82" s="3"/>
      <c r="I82" s="3"/>
      <c r="J82" s="3"/>
      <c r="K82" s="3"/>
      <c r="L82" s="6"/>
      <c r="M82" s="4"/>
    </row>
    <row r="83" spans="1:13" ht="27">
      <c r="B83" s="2"/>
      <c r="C83" s="2"/>
      <c r="D83" s="51" t="s">
        <v>124</v>
      </c>
      <c r="E83" s="53"/>
      <c r="F83" s="42"/>
      <c r="G83" s="3"/>
      <c r="H83" s="3"/>
      <c r="I83" s="3"/>
      <c r="J83" s="3"/>
      <c r="K83" s="3"/>
      <c r="L83" s="6"/>
      <c r="M83" s="4"/>
    </row>
    <row r="84" spans="1:13" ht="39.75">
      <c r="B84" s="2"/>
      <c r="C84" s="2"/>
      <c r="D84" s="51" t="s">
        <v>125</v>
      </c>
      <c r="E84" s="53">
        <v>10000</v>
      </c>
      <c r="F84" s="42"/>
      <c r="G84" s="3"/>
      <c r="H84" s="3"/>
      <c r="I84" s="3"/>
      <c r="J84" s="3"/>
      <c r="K84" s="3"/>
      <c r="L84" s="6"/>
      <c r="M84" s="4"/>
    </row>
    <row r="85" spans="1:13" ht="52.5">
      <c r="B85" s="2"/>
      <c r="C85" s="2"/>
      <c r="D85" s="51" t="s">
        <v>126</v>
      </c>
      <c r="E85" s="53">
        <v>14750</v>
      </c>
      <c r="F85" s="42">
        <v>1</v>
      </c>
      <c r="G85" s="3"/>
      <c r="H85" s="3"/>
      <c r="I85" s="3"/>
      <c r="J85" s="3"/>
      <c r="K85" s="3"/>
      <c r="L85" s="6"/>
      <c r="M85" s="4"/>
    </row>
    <row r="86" spans="1:13" ht="27">
      <c r="B86" s="2"/>
      <c r="C86" s="2"/>
      <c r="D86" s="51" t="s">
        <v>127</v>
      </c>
      <c r="E86" s="53">
        <v>297</v>
      </c>
      <c r="F86" s="42">
        <v>5</v>
      </c>
      <c r="G86" s="3"/>
      <c r="H86" s="3"/>
      <c r="I86" s="3"/>
      <c r="J86" s="3"/>
      <c r="K86" s="3"/>
      <c r="L86" s="6"/>
      <c r="M86" s="4"/>
    </row>
    <row r="87" spans="1:13" ht="65.25">
      <c r="B87" s="2"/>
      <c r="C87" s="2"/>
      <c r="D87" s="51" t="s">
        <v>128</v>
      </c>
      <c r="E87" s="53">
        <v>2150</v>
      </c>
      <c r="F87" s="42">
        <v>1</v>
      </c>
      <c r="G87" s="3"/>
      <c r="H87" s="3"/>
      <c r="I87" s="3"/>
      <c r="J87" s="3"/>
      <c r="K87" s="3"/>
      <c r="L87" s="6"/>
      <c r="M87" s="4"/>
    </row>
    <row r="88" spans="1:13">
      <c r="B88" s="2"/>
      <c r="C88" s="2"/>
      <c r="D88" s="52" t="s">
        <v>129</v>
      </c>
      <c r="E88" s="53"/>
      <c r="F88" s="42">
        <v>1</v>
      </c>
      <c r="G88" s="3"/>
      <c r="H88" s="3"/>
      <c r="I88" s="3"/>
      <c r="J88" s="3"/>
      <c r="K88" s="3"/>
      <c r="L88" s="6"/>
      <c r="M88" s="4"/>
    </row>
    <row r="89" spans="1:13">
      <c r="B89" s="2"/>
      <c r="C89" s="2"/>
      <c r="D89" s="48" t="s">
        <v>130</v>
      </c>
      <c r="E89" s="53">
        <v>12270</v>
      </c>
      <c r="F89" s="42"/>
      <c r="G89" s="3"/>
      <c r="H89" s="3"/>
      <c r="I89" s="3"/>
      <c r="J89" s="3"/>
      <c r="K89" s="3"/>
      <c r="L89" s="6"/>
      <c r="M89" s="4"/>
    </row>
    <row r="90" spans="1:13">
      <c r="B90" s="2"/>
      <c r="C90" s="2"/>
      <c r="D90" s="52" t="s">
        <v>131</v>
      </c>
      <c r="E90" s="53">
        <v>600</v>
      </c>
      <c r="F90" s="42"/>
      <c r="G90" s="3"/>
      <c r="H90" s="3"/>
      <c r="I90" s="3"/>
      <c r="J90" s="3"/>
      <c r="K90" s="3"/>
      <c r="L90" s="6"/>
      <c r="M90" s="4"/>
    </row>
    <row r="91" spans="1:13">
      <c r="B91" s="2"/>
      <c r="C91" s="2"/>
      <c r="D91" s="52" t="s">
        <v>132</v>
      </c>
      <c r="E91" s="53">
        <v>3000</v>
      </c>
      <c r="F91" s="42">
        <v>1</v>
      </c>
      <c r="G91" s="3"/>
      <c r="H91" s="3"/>
      <c r="I91" s="3"/>
      <c r="J91" s="3"/>
      <c r="K91" s="3"/>
      <c r="L91" s="6"/>
      <c r="M91" s="4"/>
    </row>
    <row r="92" spans="1:13" ht="39.75">
      <c r="B92" s="2"/>
      <c r="C92" s="2"/>
      <c r="D92" s="51" t="s">
        <v>133</v>
      </c>
      <c r="E92" s="55"/>
      <c r="F92" s="42">
        <v>1</v>
      </c>
      <c r="G92" s="3"/>
      <c r="H92" s="3"/>
      <c r="I92" s="3"/>
      <c r="J92" s="3"/>
      <c r="K92" s="3"/>
      <c r="L92" s="6"/>
      <c r="M92" s="4"/>
    </row>
    <row r="93" spans="1:13" ht="39.75">
      <c r="B93" s="2"/>
      <c r="C93" s="2"/>
      <c r="D93" s="51" t="s">
        <v>134</v>
      </c>
      <c r="E93" s="43"/>
      <c r="F93" s="42"/>
      <c r="G93" s="3"/>
      <c r="H93" s="3"/>
      <c r="I93" s="3"/>
      <c r="J93" s="3"/>
      <c r="K93" s="3"/>
      <c r="L93" s="6"/>
      <c r="M93" s="4"/>
    </row>
    <row r="94" spans="1:13">
      <c r="A94" s="1" t="s">
        <v>135</v>
      </c>
      <c r="B94" s="2">
        <v>6320</v>
      </c>
      <c r="C94" s="2"/>
      <c r="D94" s="48" t="s">
        <v>136</v>
      </c>
      <c r="E94" s="53">
        <v>60</v>
      </c>
      <c r="F94" s="42"/>
      <c r="G94" s="6"/>
      <c r="H94" s="3"/>
      <c r="I94" s="3"/>
      <c r="J94" s="3"/>
      <c r="K94" s="3"/>
      <c r="L94" s="6"/>
      <c r="M94" s="4"/>
    </row>
    <row r="95" spans="1:13" ht="52.5">
      <c r="B95" s="2"/>
      <c r="C95" s="2"/>
      <c r="D95" s="51" t="s">
        <v>137</v>
      </c>
      <c r="E95" s="53">
        <v>30000</v>
      </c>
      <c r="F95" s="42">
        <v>5</v>
      </c>
      <c r="G95" s="3"/>
      <c r="H95" s="3"/>
      <c r="I95" s="3"/>
      <c r="J95" s="3"/>
      <c r="K95" s="3"/>
      <c r="L95" s="6"/>
      <c r="M95" s="4"/>
    </row>
    <row r="96" spans="1:13">
      <c r="B96" s="2"/>
      <c r="C96" s="2"/>
      <c r="D96" s="48" t="s">
        <v>138</v>
      </c>
      <c r="E96" s="53">
        <v>1620</v>
      </c>
      <c r="F96" s="42"/>
      <c r="G96" s="3"/>
      <c r="H96" s="3"/>
      <c r="I96" s="3"/>
      <c r="J96" s="3"/>
      <c r="K96" s="3"/>
      <c r="L96" s="6"/>
      <c r="M96" s="4"/>
    </row>
    <row r="97" spans="1:13">
      <c r="B97" s="2"/>
      <c r="C97" s="2"/>
      <c r="D97" s="52" t="s">
        <v>139</v>
      </c>
      <c r="E97" s="53">
        <v>280</v>
      </c>
      <c r="F97" s="42">
        <v>3</v>
      </c>
      <c r="G97" s="3"/>
      <c r="H97" s="3"/>
      <c r="I97" s="3"/>
      <c r="J97" s="3"/>
      <c r="K97" s="3"/>
      <c r="L97" s="6"/>
      <c r="M97" s="4"/>
    </row>
    <row r="98" spans="1:13" ht="53.25" customHeight="1">
      <c r="B98" s="2"/>
      <c r="C98" s="2"/>
      <c r="D98" s="52" t="s">
        <v>140</v>
      </c>
      <c r="E98" s="43">
        <v>30000</v>
      </c>
      <c r="F98" s="42"/>
      <c r="G98" s="3"/>
      <c r="H98" s="3"/>
      <c r="I98" s="3"/>
      <c r="J98" s="3"/>
      <c r="K98" s="3"/>
      <c r="L98" s="6"/>
      <c r="M98" s="4"/>
    </row>
    <row r="99" spans="1:13">
      <c r="A99" s="1" t="s">
        <v>141</v>
      </c>
      <c r="B99" s="2">
        <v>6380</v>
      </c>
      <c r="C99" s="2"/>
      <c r="D99" s="52" t="s">
        <v>142</v>
      </c>
      <c r="E99" s="43"/>
      <c r="F99" s="42"/>
      <c r="G99" s="3"/>
      <c r="H99" s="3"/>
      <c r="I99" s="3"/>
      <c r="J99" s="3"/>
      <c r="K99" s="3"/>
      <c r="L99" s="6"/>
      <c r="M99" s="4"/>
    </row>
    <row r="100" spans="1:13">
      <c r="B100" s="2"/>
      <c r="C100" s="2"/>
      <c r="D100" s="52" t="s">
        <v>143</v>
      </c>
      <c r="E100" s="43">
        <v>375000</v>
      </c>
      <c r="F100" s="42"/>
      <c r="G100" s="3"/>
      <c r="H100" s="3"/>
      <c r="I100" s="3"/>
      <c r="J100" s="3"/>
      <c r="K100" s="3"/>
      <c r="L100" s="6"/>
      <c r="M100" s="4"/>
    </row>
    <row r="101" spans="1:13" ht="17.25">
      <c r="A101" s="1" t="s">
        <v>144</v>
      </c>
      <c r="B101" s="2">
        <v>6550</v>
      </c>
      <c r="C101" s="2"/>
      <c r="D101" s="56" t="s">
        <v>145</v>
      </c>
      <c r="E101" s="43">
        <v>60000</v>
      </c>
      <c r="F101" s="42"/>
      <c r="G101" s="3"/>
      <c r="H101" s="34"/>
      <c r="I101" s="34"/>
      <c r="J101" s="34"/>
      <c r="K101" s="34"/>
      <c r="L101" s="28"/>
      <c r="M101" s="4"/>
    </row>
    <row r="102" spans="1:13" ht="53.25">
      <c r="B102" s="2"/>
      <c r="C102" s="2"/>
      <c r="D102" s="51" t="s">
        <v>146</v>
      </c>
      <c r="E102" s="43"/>
      <c r="F102" s="42"/>
      <c r="G102" s="34"/>
      <c r="H102" s="34"/>
      <c r="I102" s="34"/>
      <c r="J102" s="34"/>
      <c r="K102" s="34"/>
      <c r="L102" s="28"/>
      <c r="M102" s="4"/>
    </row>
    <row r="103" spans="1:13" ht="244.5">
      <c r="B103" s="2"/>
      <c r="C103" s="2"/>
      <c r="D103" s="51" t="s">
        <v>147</v>
      </c>
      <c r="E103" s="43"/>
      <c r="F103" s="42"/>
      <c r="G103" s="34"/>
      <c r="H103" s="34"/>
      <c r="I103" s="34"/>
      <c r="J103" s="34"/>
      <c r="K103" s="34"/>
      <c r="L103" s="28"/>
      <c r="M103" s="4"/>
    </row>
    <row r="104" spans="1:13" ht="53.25">
      <c r="B104" s="2"/>
      <c r="C104" s="2"/>
      <c r="D104" s="51" t="s">
        <v>148</v>
      </c>
      <c r="E104" s="43"/>
      <c r="F104" s="42"/>
      <c r="G104" s="34"/>
      <c r="H104" s="34"/>
      <c r="I104" s="34"/>
      <c r="J104" s="34"/>
      <c r="K104" s="34"/>
      <c r="L104" s="28"/>
      <c r="M104" s="4"/>
    </row>
    <row r="105" spans="1:13" ht="24.75" customHeight="1">
      <c r="B105" s="2"/>
      <c r="C105" s="2"/>
      <c r="D105" s="56" t="s">
        <v>149</v>
      </c>
      <c r="E105" s="43">
        <v>2000000</v>
      </c>
      <c r="F105" s="42"/>
      <c r="G105" s="34"/>
      <c r="H105" s="34"/>
      <c r="I105" s="34"/>
      <c r="J105" s="34"/>
      <c r="K105" s="34"/>
      <c r="L105" s="28"/>
      <c r="M105" s="4"/>
    </row>
    <row r="106" spans="1:13" ht="193.5">
      <c r="B106" s="2"/>
      <c r="C106" s="2"/>
      <c r="D106" s="51" t="s">
        <v>150</v>
      </c>
      <c r="E106" s="43"/>
      <c r="F106" s="42"/>
      <c r="G106" s="34"/>
      <c r="H106" s="34"/>
      <c r="I106" s="34"/>
      <c r="J106" s="34"/>
      <c r="K106" s="34"/>
      <c r="L106" s="28"/>
      <c r="M106" s="4"/>
    </row>
    <row r="107" spans="1:13" ht="17.25">
      <c r="B107" s="2"/>
      <c r="C107" s="2"/>
      <c r="D107" s="57" t="s">
        <v>151</v>
      </c>
      <c r="E107" s="55">
        <f>SUM(E53:E106)</f>
        <v>3713561</v>
      </c>
      <c r="F107" s="42"/>
      <c r="G107" s="34"/>
      <c r="H107" s="34"/>
      <c r="I107" s="34"/>
      <c r="J107" s="34"/>
      <c r="K107" s="34"/>
      <c r="L107" s="28"/>
      <c r="M107" s="4"/>
    </row>
    <row r="108" spans="1:13" ht="17.25">
      <c r="B108" s="2">
        <v>7031</v>
      </c>
      <c r="C108" s="2"/>
      <c r="D108" s="35"/>
      <c r="E108" s="3"/>
      <c r="F108" s="2"/>
      <c r="G108" s="34"/>
      <c r="H108" s="34"/>
      <c r="I108" s="34"/>
      <c r="J108" s="34"/>
      <c r="K108" s="34"/>
      <c r="L108" s="28"/>
      <c r="M108" s="4"/>
    </row>
    <row r="109" spans="1:13" ht="17.25">
      <c r="B109" s="2"/>
      <c r="C109" s="2"/>
      <c r="D109" s="2" t="s">
        <v>152</v>
      </c>
      <c r="E109" s="3">
        <v>892975.93</v>
      </c>
      <c r="F109" s="2"/>
      <c r="G109" s="34"/>
      <c r="H109" s="34"/>
      <c r="I109" s="34"/>
      <c r="J109" s="34"/>
      <c r="K109" s="34"/>
      <c r="L109" s="28"/>
      <c r="M109" s="4"/>
    </row>
    <row r="110" spans="1:13" ht="295.5">
      <c r="B110" s="2">
        <v>8</v>
      </c>
      <c r="C110" s="2"/>
      <c r="D110" s="33" t="s">
        <v>153</v>
      </c>
      <c r="E110" s="3"/>
      <c r="F110" s="2"/>
      <c r="G110" s="34"/>
      <c r="H110" s="34"/>
      <c r="I110" s="34"/>
      <c r="J110" s="34"/>
      <c r="K110" s="34"/>
      <c r="L110" s="28"/>
      <c r="M110" s="4"/>
    </row>
    <row r="111" spans="1:13" ht="17.25">
      <c r="B111" s="2"/>
      <c r="C111" s="2"/>
      <c r="D111" s="36" t="s">
        <v>154</v>
      </c>
      <c r="E111" s="6">
        <f>SUM(E107:E109)</f>
        <v>4606536.93</v>
      </c>
      <c r="F111" s="2"/>
      <c r="G111" s="34"/>
      <c r="H111" s="34"/>
      <c r="I111" s="34"/>
      <c r="J111" s="34"/>
      <c r="K111" s="34"/>
      <c r="L111" s="28"/>
      <c r="M111" s="4"/>
    </row>
    <row r="112" spans="1:13" ht="17.25">
      <c r="B112" s="2"/>
      <c r="C112" s="2"/>
      <c r="D112" s="36" t="s">
        <v>90</v>
      </c>
      <c r="E112" s="43">
        <v>7549712.4299999997</v>
      </c>
      <c r="F112" s="2"/>
      <c r="G112" s="34"/>
      <c r="H112" s="6"/>
      <c r="I112" s="6"/>
      <c r="J112" s="6"/>
      <c r="K112" s="6"/>
      <c r="L112" s="6"/>
      <c r="M112" s="37"/>
    </row>
    <row r="113" spans="2:13">
      <c r="B113" s="38"/>
      <c r="C113" s="35"/>
      <c r="D113" s="62" t="s">
        <v>155</v>
      </c>
      <c r="E113" s="37">
        <f>SUM(E111:E112)</f>
        <v>12156249.359999999</v>
      </c>
      <c r="F113" s="2"/>
      <c r="G113" s="6"/>
      <c r="H113" s="6"/>
      <c r="I113" s="6"/>
      <c r="J113" s="6"/>
      <c r="K113" s="6"/>
      <c r="L113" s="3"/>
      <c r="M113" s="4"/>
    </row>
    <row r="114" spans="2:13">
      <c r="B114" s="2"/>
      <c r="C114" s="2"/>
      <c r="D114" s="2"/>
      <c r="E114" s="3"/>
      <c r="F114" s="2"/>
      <c r="G114" s="6"/>
      <c r="H114" s="3"/>
      <c r="I114" s="3"/>
      <c r="J114" s="3"/>
      <c r="K114" s="3"/>
      <c r="L114" s="6"/>
      <c r="M114" s="4"/>
    </row>
    <row r="115" spans="2:13">
      <c r="B115" s="2"/>
      <c r="C115" s="2"/>
      <c r="D115" s="33"/>
      <c r="E115" s="2" t="s">
        <v>156</v>
      </c>
      <c r="F115" s="10"/>
      <c r="G115" s="3"/>
      <c r="H115" s="6"/>
      <c r="I115" s="6"/>
      <c r="J115" s="6"/>
      <c r="K115" s="6"/>
      <c r="L115" s="6"/>
      <c r="M115" s="4"/>
    </row>
    <row r="116" spans="2:13">
      <c r="B116" s="2"/>
      <c r="C116" s="2"/>
      <c r="D116" s="2"/>
      <c r="E116" s="2"/>
      <c r="F116" s="10"/>
      <c r="G116" s="6"/>
      <c r="H116" s="3"/>
      <c r="I116" s="3"/>
      <c r="J116" s="3"/>
      <c r="K116" s="3"/>
      <c r="L116" s="6"/>
      <c r="M116" s="4"/>
    </row>
    <row r="117" spans="2:13" ht="17.25">
      <c r="B117" s="2"/>
      <c r="C117" s="2"/>
      <c r="D117" s="2"/>
      <c r="E117" s="2"/>
      <c r="F117" s="10"/>
      <c r="G117" s="34"/>
      <c r="H117" s="3"/>
      <c r="I117" s="3"/>
      <c r="J117" s="3"/>
      <c r="K117" s="3"/>
      <c r="L117" s="6"/>
      <c r="M117" s="4"/>
    </row>
    <row r="118" spans="2:13" ht="17.25">
      <c r="B118" s="2"/>
      <c r="C118" s="2"/>
      <c r="D118" s="2"/>
      <c r="E118" s="3"/>
      <c r="F118" s="10"/>
      <c r="G118" s="34"/>
      <c r="H118" s="3"/>
      <c r="I118" s="3"/>
      <c r="J118" s="3"/>
      <c r="K118" s="3"/>
      <c r="L118" s="3"/>
      <c r="M118" s="4"/>
    </row>
    <row r="119" spans="2:13" ht="15" customHeight="1">
      <c r="B119" s="2"/>
      <c r="C119" s="2"/>
      <c r="D119" s="2"/>
      <c r="E119" s="3"/>
      <c r="F119" s="2"/>
      <c r="G119" s="34"/>
      <c r="H119" s="3"/>
      <c r="I119" s="3"/>
      <c r="J119" s="3"/>
      <c r="K119" s="3"/>
      <c r="L119" s="28"/>
      <c r="M119" s="4"/>
    </row>
    <row r="120" spans="2:13" ht="15.75" customHeight="1">
      <c r="B120" s="2"/>
      <c r="C120" s="2"/>
      <c r="D120" s="2"/>
      <c r="E120" s="3"/>
      <c r="F120" s="2"/>
      <c r="G120" s="3"/>
      <c r="H120" s="3"/>
      <c r="I120" s="3"/>
      <c r="J120" s="3"/>
      <c r="K120" s="3"/>
      <c r="L120" s="6"/>
      <c r="M120" s="4"/>
    </row>
    <row r="121" spans="2:13" ht="22.9" customHeight="1">
      <c r="B121" s="18"/>
      <c r="C121" s="2"/>
      <c r="D121" s="2"/>
      <c r="E121" s="2"/>
      <c r="F121" s="2"/>
      <c r="G121" s="3"/>
      <c r="H121" s="3"/>
      <c r="I121" s="3"/>
      <c r="J121" s="3"/>
      <c r="K121" s="3"/>
      <c r="L121" s="6"/>
      <c r="M121" s="4"/>
    </row>
    <row r="122" spans="2:13">
      <c r="B122" s="2"/>
      <c r="C122" s="2"/>
      <c r="D122" s="2"/>
      <c r="E122" s="2"/>
      <c r="F122" s="2"/>
      <c r="G122" s="3"/>
      <c r="H122" s="3"/>
      <c r="I122" s="3"/>
      <c r="J122" s="3"/>
      <c r="K122" s="3"/>
      <c r="L122" s="2"/>
      <c r="M122" s="2"/>
    </row>
    <row r="123" spans="2:13">
      <c r="B123" s="2"/>
      <c r="C123" s="2"/>
      <c r="D123" s="2"/>
      <c r="E123" s="2"/>
      <c r="F123" s="2"/>
      <c r="G123" s="2"/>
      <c r="H123" s="3"/>
      <c r="I123" s="3"/>
      <c r="J123" s="3"/>
      <c r="K123" s="3"/>
      <c r="L123" s="2"/>
      <c r="M123" s="2"/>
    </row>
    <row r="124" spans="2:13">
      <c r="B124" s="2"/>
      <c r="C124" s="2"/>
      <c r="D124" s="2"/>
      <c r="E124" s="2"/>
      <c r="F124" s="2"/>
      <c r="G124" s="2"/>
      <c r="H124" s="3"/>
      <c r="I124" s="3"/>
      <c r="J124" s="3"/>
      <c r="K124" s="3"/>
      <c r="L124" s="2"/>
      <c r="M124" s="2"/>
    </row>
    <row r="125" spans="2:13">
      <c r="B125" s="2"/>
      <c r="C125" s="2"/>
      <c r="D125" s="2"/>
      <c r="E125" s="2"/>
      <c r="F125" s="2"/>
      <c r="G125" s="2"/>
      <c r="H125" s="3"/>
      <c r="I125" s="3"/>
      <c r="J125" s="3"/>
      <c r="K125" s="3"/>
      <c r="L125" s="2"/>
      <c r="M125" s="2"/>
    </row>
    <row r="126" spans="2:13">
      <c r="B126" s="2"/>
      <c r="C126" s="2"/>
      <c r="D126" s="2"/>
      <c r="E126" s="2"/>
      <c r="F126" s="2"/>
      <c r="G126" s="2"/>
      <c r="H126" s="3"/>
      <c r="I126" s="3"/>
      <c r="J126" s="3"/>
      <c r="K126" s="3"/>
      <c r="L126" s="2"/>
      <c r="M126" s="2"/>
    </row>
    <row r="127" spans="2:13">
      <c r="B127" s="2"/>
      <c r="C127" s="2"/>
      <c r="D127" s="2"/>
      <c r="E127" s="2"/>
      <c r="F127" s="2"/>
      <c r="G127" s="2"/>
      <c r="H127" s="3"/>
      <c r="I127" s="3"/>
      <c r="J127" s="3"/>
      <c r="K127" s="3"/>
      <c r="L127" s="2"/>
      <c r="M127" s="2"/>
    </row>
    <row r="128" spans="2:13">
      <c r="B128" s="2"/>
      <c r="C128" s="2"/>
      <c r="D128" s="2"/>
      <c r="E128" s="2"/>
      <c r="F128" s="2"/>
      <c r="G128" s="2"/>
      <c r="H128" s="3"/>
      <c r="I128" s="3"/>
      <c r="J128" s="3"/>
      <c r="K128" s="3"/>
      <c r="L128" s="2"/>
      <c r="M128" s="2"/>
    </row>
    <row r="129" spans="2:13">
      <c r="B129" s="2"/>
      <c r="C129" s="2"/>
      <c r="D129" s="2"/>
      <c r="E129" s="2"/>
      <c r="F129" s="2"/>
      <c r="G129" s="2"/>
      <c r="H129" s="3"/>
      <c r="I129" s="3"/>
      <c r="J129" s="3"/>
      <c r="K129" s="3"/>
      <c r="L129" s="2"/>
      <c r="M129" s="2"/>
    </row>
    <row r="130" spans="2:13">
      <c r="B130" s="2"/>
      <c r="C130" s="2"/>
      <c r="D130" s="2"/>
      <c r="E130" s="2"/>
      <c r="F130" s="2"/>
      <c r="G130" s="2"/>
      <c r="H130" s="3"/>
      <c r="I130" s="3"/>
      <c r="J130" s="3"/>
      <c r="K130" s="3"/>
      <c r="L130" s="2"/>
      <c r="M130" s="2"/>
    </row>
    <row r="131" spans="2:13">
      <c r="B131" s="2"/>
      <c r="C131" s="2"/>
      <c r="D131" s="2"/>
      <c r="E131" s="2"/>
      <c r="F131" s="2"/>
      <c r="G131" s="2"/>
      <c r="H131" s="3"/>
      <c r="I131" s="3"/>
      <c r="J131" s="3"/>
      <c r="K131" s="3"/>
      <c r="L131" s="2"/>
      <c r="M131" s="2"/>
    </row>
    <row r="132" spans="2:13">
      <c r="B132" s="2"/>
      <c r="C132" s="2"/>
      <c r="D132" s="2"/>
      <c r="E132" s="2"/>
      <c r="F132" s="2"/>
      <c r="G132" s="2"/>
      <c r="H132" s="3"/>
      <c r="I132" s="3"/>
      <c r="J132" s="3"/>
      <c r="K132" s="3"/>
      <c r="L132" s="2"/>
      <c r="M132" s="2"/>
    </row>
    <row r="133" spans="2:13">
      <c r="B133" s="2"/>
      <c r="C133" s="2"/>
      <c r="D133" s="2"/>
      <c r="E133" s="2"/>
      <c r="F133" s="2"/>
      <c r="G133" s="2"/>
      <c r="H133" s="3"/>
      <c r="I133" s="3"/>
      <c r="J133" s="3"/>
      <c r="K133" s="3"/>
      <c r="L133" s="2"/>
      <c r="M133" s="2"/>
    </row>
    <row r="134" spans="2:13">
      <c r="B134" s="2"/>
      <c r="C134" s="2"/>
      <c r="D134" s="2"/>
      <c r="E134" s="2"/>
      <c r="F134" s="2"/>
      <c r="G134" s="2"/>
      <c r="H134" s="3"/>
      <c r="I134" s="3"/>
      <c r="J134" s="3"/>
      <c r="K134" s="3"/>
      <c r="L134" s="2"/>
      <c r="M134" s="2"/>
    </row>
    <row r="135" spans="2:13">
      <c r="B135" s="2"/>
      <c r="C135" s="2"/>
      <c r="D135" s="2"/>
      <c r="E135" s="2"/>
      <c r="F135" s="2"/>
      <c r="G135" s="2"/>
      <c r="H135" s="3"/>
      <c r="I135" s="3"/>
      <c r="J135" s="3"/>
      <c r="K135" s="3"/>
      <c r="L135" s="2"/>
      <c r="M135" s="2"/>
    </row>
    <row r="136" spans="2:13">
      <c r="B136" s="2"/>
      <c r="C136" s="2"/>
      <c r="D136" s="2"/>
      <c r="E136" s="2"/>
      <c r="F136" s="2"/>
      <c r="G136" s="2"/>
      <c r="H136" s="3"/>
      <c r="I136" s="3"/>
      <c r="J136" s="3"/>
      <c r="K136" s="3"/>
      <c r="L136" s="2"/>
      <c r="M136" s="2"/>
    </row>
    <row r="137" spans="2:13">
      <c r="B137" s="2"/>
      <c r="C137" s="2"/>
      <c r="D137" s="2"/>
      <c r="E137" s="2"/>
      <c r="F137" s="2"/>
      <c r="G137" s="2"/>
      <c r="H137" s="3"/>
      <c r="I137" s="3"/>
      <c r="J137" s="3"/>
      <c r="K137" s="3"/>
      <c r="L137" s="2"/>
      <c r="M137" s="2"/>
    </row>
    <row r="138" spans="2:13">
      <c r="B138" s="2"/>
      <c r="C138" s="2"/>
      <c r="D138" s="2"/>
      <c r="E138" s="2"/>
      <c r="F138" s="2"/>
      <c r="G138" s="2"/>
      <c r="H138" s="3"/>
      <c r="I138" s="3"/>
      <c r="J138" s="3"/>
      <c r="K138" s="3"/>
      <c r="L138" s="2"/>
      <c r="M138" s="2"/>
    </row>
    <row r="139" spans="2:13">
      <c r="B139" s="2"/>
      <c r="C139" s="2"/>
      <c r="E139" s="2"/>
      <c r="F139" s="2"/>
      <c r="G139" s="2"/>
      <c r="H139" s="39"/>
      <c r="I139" s="6"/>
      <c r="J139" s="3"/>
      <c r="K139" s="3"/>
      <c r="L139" s="2"/>
      <c r="M139" s="2"/>
    </row>
    <row r="140" spans="2:13">
      <c r="B140" s="2"/>
      <c r="C140" s="2"/>
      <c r="E140" s="2"/>
      <c r="F140" s="2"/>
      <c r="G140" s="2"/>
      <c r="H140" s="3"/>
      <c r="I140" s="3"/>
      <c r="J140" s="3"/>
      <c r="K140" s="3"/>
      <c r="L140" s="2"/>
      <c r="M140" s="2"/>
    </row>
    <row r="141" spans="2:13">
      <c r="B141" s="2"/>
      <c r="C141" s="2"/>
      <c r="E141" s="2"/>
      <c r="F141" s="2"/>
      <c r="G141" s="2"/>
      <c r="H141" s="3"/>
      <c r="I141" s="3"/>
      <c r="J141" s="3"/>
      <c r="K141" s="3"/>
      <c r="L141" s="2"/>
      <c r="M141" s="2"/>
    </row>
    <row r="142" spans="2:13">
      <c r="B142" s="2"/>
      <c r="C142" s="2"/>
      <c r="E142" s="2"/>
      <c r="F142" s="2"/>
      <c r="G142" s="2"/>
      <c r="H142" s="3"/>
      <c r="I142" s="3"/>
      <c r="J142" s="3"/>
      <c r="K142" s="3"/>
      <c r="L142" s="2"/>
      <c r="M142" s="2"/>
    </row>
    <row r="143" spans="2:13">
      <c r="B143" s="2"/>
      <c r="C143" s="2"/>
      <c r="F143" s="2"/>
      <c r="G143" s="2"/>
      <c r="H143" s="3"/>
      <c r="I143" s="3"/>
      <c r="J143" s="3"/>
      <c r="K143" s="3"/>
      <c r="L143" s="2"/>
      <c r="M143" s="2"/>
    </row>
    <row r="144" spans="2:13">
      <c r="G144" s="2"/>
    </row>
  </sheetData>
  <mergeCells count="6">
    <mergeCell ref="D40:F40"/>
    <mergeCell ref="D2:H2"/>
    <mergeCell ref="D3:I3"/>
    <mergeCell ref="D4:I4"/>
    <mergeCell ref="D5:I5"/>
    <mergeCell ref="D39:F3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4d089de-c843-4bfd-8db9-b48e603d62d3" xsi:nil="true"/>
    <lcf76f155ced4ddcb4097134ff3c332f xmlns="38713e42-6f10-489c-93e0-2855dbda3aeb">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0887E8F89FA05409B172C97C1B9289B" ma:contentTypeVersion="10" ma:contentTypeDescription="Create a new document." ma:contentTypeScope="" ma:versionID="e1e0ec8ba0fd20e2a9cd6c484ce76be8">
  <xsd:schema xmlns:xsd="http://www.w3.org/2001/XMLSchema" xmlns:xs="http://www.w3.org/2001/XMLSchema" xmlns:p="http://schemas.microsoft.com/office/2006/metadata/properties" xmlns:ns2="38713e42-6f10-489c-93e0-2855dbda3aeb" xmlns:ns3="34d089de-c843-4bfd-8db9-b48e603d62d3" targetNamespace="http://schemas.microsoft.com/office/2006/metadata/properties" ma:root="true" ma:fieldsID="8b4f74f773839c14c688a9e5ff55e3a8" ns2:_="" ns3:_="">
    <xsd:import namespace="38713e42-6f10-489c-93e0-2855dbda3aeb"/>
    <xsd:import namespace="34d089de-c843-4bfd-8db9-b48e603d62d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713e42-6f10-489c-93e0-2855dbda3ae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79652e2-ef79-4e4a-b4c1-fb9c475b114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4d089de-c843-4bfd-8db9-b48e603d62d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804a1b9-0d0f-4b7a-aeeb-2f52b12ef28e}" ma:internalName="TaxCatchAll" ma:showField="CatchAllData" ma:web="34d089de-c843-4bfd-8db9-b48e603d62d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FD4C0B7-858D-4FAF-8979-A682A53EA700}"/>
</file>

<file path=customXml/itemProps2.xml><?xml version="1.0" encoding="utf-8"?>
<ds:datastoreItem xmlns:ds="http://schemas.openxmlformats.org/officeDocument/2006/customXml" ds:itemID="{7293AE17-EAC5-4CE4-9AC4-3DAE59AF7644}"/>
</file>

<file path=customXml/itemProps3.xml><?xml version="1.0" encoding="utf-8"?>
<ds:datastoreItem xmlns:ds="http://schemas.openxmlformats.org/officeDocument/2006/customXml" ds:itemID="{E085948B-8FE3-45DE-893E-A8D9263C631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Rebecca St Germaine</dc:creator>
  <cp:keywords/>
  <dc:description/>
  <cp:lastModifiedBy/>
  <cp:revision/>
  <dcterms:created xsi:type="dcterms:W3CDTF">2025-12-04T03:16:32Z</dcterms:created>
  <dcterms:modified xsi:type="dcterms:W3CDTF">2025-12-04T16:03:47Z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0x01010000887E8F89FA05409B172C97C1B9289B</vt:lpwstr>
  </property>
</Properties>
</file>